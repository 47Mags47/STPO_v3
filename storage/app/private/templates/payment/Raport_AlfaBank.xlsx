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еестр" sheetId="1" state="visible" r:id="rId3"/>
    <sheet name="Info" sheetId="2" state="visible" r:id="rId4"/>
    <sheet name="Payments" sheetId="3" state="visible" r:id="rId5"/>
    <sheet name="Инструкция" sheetId="4" state="visible" r:id="rId6"/>
    <sheet name="Spravochnik" sheetId="5" state="visible" r:id="rId7"/>
  </sheets>
  <externalReferences>
    <externalReference r:id="rId8"/>
  </externalReferences>
  <definedNames>
    <definedName function="false" hidden="false" localSheetId="0" name="_xlnm.Print_Area" vbProcedure="false">Реестр!$A$1:$G$30</definedName>
    <definedName function="false" hidden="false" name="Коды_платежей" vbProcedure="false">Spravochnik!$C$5:$C$49</definedName>
    <definedName function="false" hidden="false" localSheetId="3" name="Коды_платежей" vbProcedure="false">[1]Spravochnik!$C$5:$C$45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&lt;анонимный&gt;</author>
  </authors>
  <commentList>
    <comment ref="B7" authorId="0">
      <text>
        <r>
          <rPr>
            <sz val="9"/>
            <color rgb="FF000000"/>
            <rFont val="Tahoma"/>
            <family val="2"/>
          </rPr>
          <t xml:space="preserve">
</t>
        </r>
      </text>
      <mc:AlternateContent>
        <mc:Choice Requires="v2">
          <commentPr autoFill="false" autoScale="false" colHidden="false" locked="false" rowHidden="false" textHAlign="justify" textVAlign="top">
            <anchor moveWithCells="false" sizeWithCells="false">
              <xdr:from>
                <xdr:col>2</xdr:col>
                <xdr:colOff>16</xdr:colOff>
                <xdr:row>5</xdr:row>
                <xdr:rowOff>7</xdr:rowOff>
              </xdr:from>
              <xdr:to>
                <xdr:col>7</xdr:col>
                <xdr:colOff>66</xdr:colOff>
                <xdr:row>46</xdr:row>
                <xdr:rowOff>3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<sst xmlns="http://schemas.openxmlformats.org/spreadsheetml/2006/main" count="202" uniqueCount="117">
  <si>
    <r>
      <rPr>
        <i val="true"/>
        <sz val="12"/>
        <rFont val="Times New Roman"/>
        <family val="1"/>
      </rPr>
      <t xml:space="preserve">Приложение №1</t>
    </r>
    <r>
      <rPr>
        <sz val="12"/>
        <rFont val="Times New Roman"/>
        <family val="1"/>
      </rPr>
      <t xml:space="preserve"> </t>
    </r>
  </si>
  <si>
    <r>
      <rPr>
        <sz val="12"/>
        <rFont val="Times New Roman"/>
        <family val="1"/>
      </rPr>
      <t xml:space="preserve">к Дополнительному соглашению </t>
    </r>
    <r>
      <rPr>
        <sz val="12"/>
        <color rgb="FFFF0000"/>
        <rFont val="Times New Roman"/>
        <family val="1"/>
      </rPr>
      <t xml:space="preserve">№2 от 05.07.2019</t>
    </r>
  </si>
  <si>
    <t xml:space="preserve">к Договору о переводе денежных средств</t>
  </si>
  <si>
    <t xml:space="preserve">от «13» сентября 2018 г. № </t>
  </si>
  <si>
    <t xml:space="preserve">МОСО-313</t>
  </si>
  <si>
    <t xml:space="preserve">Реестр №8/11</t>
  </si>
  <si>
    <t xml:space="preserve">перевода денежных средств в валюте Российской Федерации для перевода на Счета Получателей/Внешних получаталей</t>
  </si>
  <si>
    <t xml:space="preserve">ООО "Ромашка"</t>
  </si>
  <si>
    <t xml:space="preserve">в АО «Альфа-Банк»</t>
  </si>
  <si>
    <t xml:space="preserve">ИНН 7728168971   БИК 044525593 к/с № 30101810200000000593</t>
  </si>
  <si>
    <t xml:space="preserve">за Июль 2019 г.</t>
  </si>
  <si>
    <r>
      <rPr>
        <sz val="12"/>
        <rFont val="Times New Roman"/>
        <family val="1"/>
      </rPr>
      <t xml:space="preserve">согласно платежному поручению</t>
    </r>
    <r>
      <rPr>
        <sz val="12"/>
        <color rgb="FFFF0000"/>
        <rFont val="Times New Roman"/>
        <family val="1"/>
      </rPr>
      <t xml:space="preserve"> № 8994 от «10» июля 2019 года</t>
    </r>
  </si>
  <si>
    <t xml:space="preserve">«10» июля  2019 год</t>
  </si>
  <si>
    <t xml:space="preserve">№№</t>
  </si>
  <si>
    <t xml:space="preserve">ФИО Работника</t>
  </si>
  <si>
    <t xml:space="preserve">№ текущего счета в RUR</t>
  </si>
  <si>
    <t xml:space="preserve">Сумма перечислений </t>
  </si>
  <si>
    <r>
      <rPr>
        <sz val="12"/>
        <rFont val="Arial Cyr"/>
        <family val="0"/>
      </rPr>
      <t xml:space="preserve">Итого: </t>
    </r>
    <r>
      <rPr>
        <sz val="12"/>
        <color rgb="FFFF0000"/>
        <rFont val="Arial Cyr"/>
        <family val="0"/>
      </rPr>
      <t xml:space="preserve">2</t>
    </r>
    <r>
      <rPr>
        <sz val="12"/>
        <rFont val="Arial Cyr"/>
        <family val="0"/>
      </rPr>
      <t xml:space="preserve"> количество перечислений </t>
    </r>
  </si>
  <si>
    <r>
      <rPr>
        <sz val="12"/>
        <color rgb="FFFF0000"/>
        <rFont val="Arial Cyr"/>
        <family val="0"/>
      </rPr>
      <t xml:space="preserve">2</t>
    </r>
    <r>
      <rPr>
        <sz val="12"/>
        <rFont val="Arial Cyr"/>
        <family val="0"/>
      </rPr>
      <t xml:space="preserve"> количество Работников</t>
    </r>
  </si>
  <si>
    <r>
      <rPr>
        <sz val="12"/>
        <rFont val="Arial Cyr"/>
        <family val="0"/>
      </rPr>
      <t xml:space="preserve">      </t>
    </r>
    <r>
      <rPr>
        <sz val="12"/>
        <color rgb="FFFF0000"/>
        <rFont val="Arial Cyr"/>
        <family val="0"/>
      </rPr>
      <t xml:space="preserve">общая сумма перечислений </t>
    </r>
  </si>
  <si>
    <t xml:space="preserve">Файл начислений прилагается</t>
  </si>
  <si>
    <t xml:space="preserve">М.П. </t>
  </si>
  <si>
    <t xml:space="preserve">Руководитель                      ________</t>
  </si>
  <si>
    <t xml:space="preserve">     Подпись </t>
  </si>
  <si>
    <t xml:space="preserve">         ФИО</t>
  </si>
  <si>
    <t xml:space="preserve">Главный бухгалтер             ________</t>
  </si>
  <si>
    <t xml:space="preserve">Наименование организации</t>
  </si>
  <si>
    <t xml:space="preserve">ГКУ "ЦСВИ"</t>
  </si>
  <si>
    <t xml:space="preserve">ИНН организации</t>
  </si>
  <si>
    <t xml:space="preserve">4205382083</t>
  </si>
  <si>
    <t xml:space="preserve">Расчетный счет</t>
  </si>
  <si>
    <t xml:space="preserve">Id организации</t>
  </si>
  <si>
    <t xml:space="preserve">Дата подготовки файла</t>
  </si>
  <si>
    <t xml:space="preserve">Дата платежной ведомости</t>
  </si>
  <si>
    <t xml:space="preserve">23.08.2026</t>
  </si>
  <si>
    <t xml:space="preserve">Основание (код)</t>
  </si>
  <si>
    <t xml:space="preserve">Валюта ПВ</t>
  </si>
  <si>
    <t xml:space="preserve">RUR</t>
  </si>
  <si>
    <t xml:space="preserve">Отделение доставки карт</t>
  </si>
  <si>
    <t xml:space="preserve">Карточный контракт</t>
  </si>
  <si>
    <t xml:space="preserve">Служебная информация</t>
  </si>
  <si>
    <t xml:space="preserve">Период производимой выплаты</t>
  </si>
  <si>
    <t xml:space="preserve">Фамилия</t>
  </si>
  <si>
    <t xml:space="preserve">Имя</t>
  </si>
  <si>
    <t xml:space="preserve">Отчество</t>
  </si>
  <si>
    <t xml:space="preserve">Номер счета </t>
  </si>
  <si>
    <t xml:space="preserve">Сумма</t>
  </si>
  <si>
    <t xml:space="preserve">Сумма конвертации на второй счет</t>
  </si>
  <si>
    <t xml:space="preserve">Сумма конвертации на третий счет</t>
  </si>
  <si>
    <t xml:space="preserve">% конвертации на второй счет</t>
  </si>
  <si>
    <t xml:space="preserve">% конвертации на третий счет</t>
  </si>
  <si>
    <t xml:space="preserve">Сумма удержанных средств</t>
  </si>
  <si>
    <t xml:space="preserve">Вкладка "Реестр"</t>
  </si>
  <si>
    <t xml:space="preserve">к Договору о перечислении денежных средств</t>
  </si>
  <si>
    <t xml:space="preserve">от «13» сентября 2015 г. № </t>
  </si>
  <si>
    <r>
      <rPr>
        <sz val="12"/>
        <rFont val="Times New Roman"/>
        <family val="1"/>
      </rPr>
      <t xml:space="preserve">для перечисления денежных</t>
    </r>
    <r>
      <rPr>
        <sz val="12"/>
        <color rgb="FFFF6600"/>
        <rFont val="Times New Roman"/>
        <family val="1"/>
      </rPr>
      <t xml:space="preserve"> </t>
    </r>
    <r>
      <rPr>
        <sz val="12"/>
        <rFont val="Times New Roman"/>
        <family val="1"/>
      </rPr>
      <t xml:space="preserve">средств Работникам ООО</t>
    </r>
    <r>
      <rPr>
        <sz val="12"/>
        <color rgb="FFFF0000"/>
        <rFont val="Times New Roman"/>
        <family val="1"/>
      </rPr>
      <t xml:space="preserve"> "Ромашка"</t>
    </r>
  </si>
  <si>
    <t xml:space="preserve">за Август 2018 г.</t>
  </si>
  <si>
    <r>
      <rPr>
        <sz val="12"/>
        <rFont val="Times New Roman"/>
        <family val="1"/>
      </rPr>
      <t xml:space="preserve">согласно платежному поручению</t>
    </r>
    <r>
      <rPr>
        <sz val="12"/>
        <color rgb="FFFF0000"/>
        <rFont val="Times New Roman"/>
        <family val="1"/>
      </rPr>
      <t xml:space="preserve"> № 8994 от «22» августа 2018 года</t>
    </r>
  </si>
  <si>
    <t xml:space="preserve">«22» августа  2018 год</t>
  </si>
  <si>
    <t xml:space="preserve">Руководитель                                             ________</t>
  </si>
  <si>
    <t xml:space="preserve">Главный бухгалтер                                   ________</t>
  </si>
  <si>
    <t xml:space="preserve">Вкладка "Info"</t>
  </si>
  <si>
    <t xml:space="preserve">ООО Ромашка</t>
  </si>
  <si>
    <t xml:space="preserve">0123456789</t>
  </si>
  <si>
    <t xml:space="preserve">Наименование</t>
  </si>
  <si>
    <t xml:space="preserve">Код</t>
  </si>
  <si>
    <t xml:space="preserve">ЗАРАБОТНАЯ ПЛАТА</t>
  </si>
  <si>
    <t xml:space="preserve">АВАНС ПО ЗАРАБОТНОЙ ПЛАТЕ</t>
  </si>
  <si>
    <t xml:space="preserve">ПЕРЕЧИСЛЕНИЕ ПРЕМИИ</t>
  </si>
  <si>
    <t xml:space="preserve">МОС</t>
  </si>
  <si>
    <t xml:space="preserve">ВОЗМЕЩЕНИЕ КОМАНДИРОВОЧНЫХ РАСХОДОВ</t>
  </si>
  <si>
    <t xml:space="preserve">СТРАХОВАЯ ВЫПЛАТА</t>
  </si>
  <si>
    <t xml:space="preserve">СТИПЕНДИИ И ИНЫЕ ВЫПЛАТЫ ОБУЧ.</t>
  </si>
  <si>
    <t xml:space="preserve">ПОСОБИЕ ИЗ СРЕДСТВ ФСС</t>
  </si>
  <si>
    <t xml:space="preserve">МАТЕРИАЛЬНАЯ ПОМОЩЬ</t>
  </si>
  <si>
    <t xml:space="preserve">АЛИМЕНТЫ ЗАЯВЛ. АЛИМЕНТОПЛАТЕЛЬЩИКА</t>
  </si>
  <si>
    <t xml:space="preserve">ВЫПЛАТА АЛИМЕНТОВ ПО РЕШЕНИЮ СУДА</t>
  </si>
  <si>
    <t xml:space="preserve">КОМПЕНСАЦИЯ ЗА МОЛОКО</t>
  </si>
  <si>
    <t xml:space="preserve">КОМПЕНСАЦИЯ В ЧАСТИ РОДИТ.ПЛАТЫ</t>
  </si>
  <si>
    <t xml:space="preserve">ОПЛАТА ВРЕДН./ОПАСН. УСЛОВИЙ ТРУДА</t>
  </si>
  <si>
    <t xml:space="preserve">ВЫПЛАТА НА ЭНЕРГОЗАТРАТЫ И ПИТАНИЕ</t>
  </si>
  <si>
    <t xml:space="preserve">ГОНОРАР АВТОРАМ...(АВАНС.ПЛАТЕЖ)</t>
  </si>
  <si>
    <t xml:space="preserve">ГОНОРАР АВТОРАМ...(ПОСЛЕД.ПЛАТЕЖ)</t>
  </si>
  <si>
    <t xml:space="preserve">ГРАНТЫ</t>
  </si>
  <si>
    <t xml:space="preserve">ОТПУСКНЫЕ</t>
  </si>
  <si>
    <t xml:space="preserve">РАСЧЕТЫ ПРИ УВОЛЬНЕНИИ</t>
  </si>
  <si>
    <t xml:space="preserve">КОМПЕНСАЦИЯ</t>
  </si>
  <si>
    <t xml:space="preserve">ПРЕДВАРИТ. ОПЛАТА ЗА ОКАЗ.УСЛ.(ГПХ)</t>
  </si>
  <si>
    <t xml:space="preserve">ОПЛАТА ЗА ОКАЗ.УСЛ.(ГПХ)</t>
  </si>
  <si>
    <t xml:space="preserve">ДИВИДЕНДЫ АКЦИОНЕРАМ</t>
  </si>
  <si>
    <t xml:space="preserve">ДИВИДЕНДЫ (ДОХОДЫ) УЧАСТНИКАМ</t>
  </si>
  <si>
    <t xml:space="preserve">ПЕРЕВОД СРЕДСТВ ПОД ОТЧЕТ НА ХОЗ.Н.</t>
  </si>
  <si>
    <t xml:space="preserve">РАСПРЕДЕЛЕНИЕ НА ПЛ.КАРТУ</t>
  </si>
  <si>
    <t xml:space="preserve">ВОЗВРАТ НДФЛ                       </t>
  </si>
  <si>
    <t xml:space="preserve">СОЦ.ВЫПЛ.БЫВШ.СОТРУД.ПРИ СОКРАЩЕНИИ</t>
  </si>
  <si>
    <t xml:space="preserve">СОЦ.ВЫХОДНОЕ ПОСОБИЕ ПРИ УВОЛЬНЕНИИ</t>
  </si>
  <si>
    <t xml:space="preserve">СОЦИАЛЬНОЕ ПОСОБИЕ НА ПОГРЕБЕНИЕ   </t>
  </si>
  <si>
    <t xml:space="preserve">ВОЗМЕЩЕНИЕ РАСХОДОВ НА ГСМ         </t>
  </si>
  <si>
    <t xml:space="preserve">ЗАРАБОТНАЯ ПЛАТА ПРИ УВОЛЬНЕНИИ    </t>
  </si>
  <si>
    <t xml:space="preserve">ЗАРПЛАТА ЗА ПЕРВУЮ ПОЛОВИНУ МЕСЯЦА </t>
  </si>
  <si>
    <t xml:space="preserve">КОМАНДИРОВОЧНЫЕ РАСХОДЫ            </t>
  </si>
  <si>
    <t xml:space="preserve">КОМПЕНСАЦИЯ ЗА ЗАДЕРЖКУ ЗАРПЛАТЫ   </t>
  </si>
  <si>
    <t xml:space="preserve">КОМАНДИРОВОЧНЫЕ ПОДОТЧЕТ           </t>
  </si>
  <si>
    <t xml:space="preserve">ПОСОБИЕ НА ПОГРЕБЕНИЕ              </t>
  </si>
  <si>
    <t xml:space="preserve">ПОСОБИЕ ПО ВРЕМЕННОЙ НЕТРУДОСПОСОБ.</t>
  </si>
  <si>
    <t xml:space="preserve">МИР.ПОСОБИЕ ПО БЕРЕМЕННОСТИ И РОДАМ</t>
  </si>
  <si>
    <t xml:space="preserve">МИР.ПОСОБИЕ ВСТАВШИМ НА УЧЕТ</t>
  </si>
  <si>
    <t xml:space="preserve">МИР.ПОСОБИЕ ПРИ РОЖДЕНИИ РЕБЕНКА</t>
  </si>
  <si>
    <t xml:space="preserve">МИР.ПОСОБИЕ ПО УХОДУ ЗА РЕБЕНКОМ</t>
  </si>
  <si>
    <t xml:space="preserve">МИР.ПОСОБИЕ ПО ВР.НЕТРУД.(РАДИАЦИЯ)</t>
  </si>
  <si>
    <t xml:space="preserve">ПОСОБИЕ ФСС НА КАРТУ МИР</t>
  </si>
  <si>
    <t xml:space="preserve">СОЦИАЛЬНЫЕ ВЫПЛАТЫ НА КАРТУ МИР</t>
  </si>
  <si>
    <t xml:space="preserve">Вкладка "Payments"</t>
  </si>
  <si>
    <t xml:space="preserve">Сохранение и отправка файла начислений</t>
  </si>
  <si>
    <t xml:space="preserve">Информация по оформлению платежного поручения</t>
  </si>
  <si>
    <t xml:space="preserve">Основание (код) платежа</t>
  </si>
  <si>
    <t xml:space="preserve">ВЫПЛАТЫ НА КАРТУ МИР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</si>
</sst>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@"/>
    <numFmt numFmtId="167" formatCode="#,##0.00"/>
    <numFmt numFmtId="168" formatCode="dd/mm/yyyy"/>
    <numFmt numFmtId="169" formatCode="0.00"/>
  </numFmts>
  <fonts count="40">
    <font>
      <sz val="10"/>
      <name val="Arial Cyr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 Cyr"/>
      <family val="0"/>
    </font>
    <font>
      <i val="true"/>
      <sz val="12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sz val="12"/>
      <color rgb="FFFF0000"/>
      <name val="Arial Cyr"/>
      <family val="0"/>
    </font>
    <font>
      <vertAlign val="superscript"/>
      <sz val="12"/>
      <color rgb="FFFF0000"/>
      <name val="Times New Roman"/>
      <family val="1"/>
    </font>
    <font>
      <b val="true"/>
      <sz val="10"/>
      <name val="Times New Roman"/>
      <family val="1"/>
    </font>
    <font>
      <sz val="10"/>
      <name val="Times New Roman"/>
      <family val="1"/>
    </font>
    <font>
      <sz val="10"/>
      <name val="NTHarmonica"/>
      <family val="0"/>
    </font>
    <font>
      <b val="true"/>
      <sz val="10"/>
      <color rgb="FFFF0000"/>
      <name val="Arial Cyr"/>
      <family val="2"/>
    </font>
    <font>
      <b val="true"/>
      <sz val="10"/>
      <color rgb="FF003366"/>
      <name val="Arial Cyr"/>
      <family val="0"/>
    </font>
    <font>
      <sz val="10"/>
      <color rgb="FFFF0000"/>
      <name val="Arial Cyr"/>
      <family val="2"/>
    </font>
    <font>
      <b val="true"/>
      <sz val="10"/>
      <color rgb="FFFF0000"/>
      <name val="Arial Cyr"/>
      <family val="0"/>
    </font>
    <font>
      <sz val="10"/>
      <color rgb="FFFF0000"/>
      <name val="Arial Cyr"/>
      <family val="0"/>
    </font>
    <font>
      <sz val="10"/>
      <color rgb="FFFF0000"/>
      <name val="Arial CYR"/>
      <family val="0"/>
    </font>
    <font>
      <sz val="9"/>
      <color rgb="FF000000"/>
      <name val="Tahoma"/>
      <family val="2"/>
    </font>
    <font>
      <b val="true"/>
      <sz val="16"/>
      <color rgb="FFFFFFFF"/>
      <name val="Arial Cyr"/>
      <family val="0"/>
    </font>
    <font>
      <b val="true"/>
      <sz val="12"/>
      <name val="Arial Cyr"/>
      <family val="0"/>
    </font>
    <font>
      <sz val="12"/>
      <color rgb="FFFF6600"/>
      <name val="Times New Roman"/>
      <family val="1"/>
    </font>
    <font>
      <sz val="12"/>
      <color rgb="FFFFFFFF"/>
      <name val="Arial Cyr"/>
      <family val="0"/>
    </font>
    <font>
      <b val="true"/>
      <sz val="12"/>
      <color rgb="FF0000FF"/>
      <name val="Arial Cyr"/>
      <family val="0"/>
    </font>
    <font>
      <b val="true"/>
      <sz val="10"/>
      <name val="Arial Cyr"/>
      <family val="0"/>
    </font>
    <font>
      <sz val="12"/>
      <color rgb="FF000000"/>
      <name val="Calibri"/>
      <family val="0"/>
    </font>
    <font>
      <b val="true"/>
      <sz val="12"/>
      <color rgb="FF000000"/>
      <name val="Calibri"/>
      <family val="0"/>
    </font>
    <font>
      <b val="true"/>
      <u val="single"/>
      <sz val="12"/>
      <color rgb="FF000000"/>
      <name val="Calibri"/>
      <family val="0"/>
    </font>
    <font>
      <u val="single"/>
      <sz val="12"/>
      <color rgb="FF000000"/>
      <name val="Calibri"/>
      <family val="0"/>
    </font>
    <font>
      <b val="true"/>
      <u val="single"/>
      <sz val="12"/>
      <color rgb="FFFF0000"/>
      <name val="Calibri"/>
      <family val="0"/>
    </font>
    <font>
      <u val="single"/>
      <sz val="12"/>
      <color rgb="FF0000FF"/>
      <name val="Calibri"/>
      <family val="0"/>
    </font>
    <font>
      <b val="true"/>
      <sz val="12"/>
      <color rgb="FFFF0000"/>
      <name val="Calibri"/>
      <family val="0"/>
    </font>
    <font>
      <u val="single"/>
      <sz val="11"/>
      <color rgb="FF000000"/>
      <name val="Calibri"/>
      <family val="0"/>
    </font>
    <font>
      <i val="true"/>
      <sz val="12"/>
      <color rgb="FF000000"/>
      <name val="Calibri"/>
      <family val="0"/>
    </font>
    <font>
      <sz val="14"/>
      <color rgb="FF000000"/>
      <name val="Calibri"/>
      <family val="0"/>
    </font>
    <font>
      <sz val="11"/>
      <color rgb="FF000000"/>
      <name val="Calibri"/>
      <family val="0"/>
    </font>
    <font>
      <b val="true"/>
      <u val="single"/>
      <sz val="11"/>
      <color rgb="FF000000"/>
      <name val="Calibri"/>
      <family val="0"/>
    </font>
    <font>
      <sz val="4"/>
      <color rgb="FF000000"/>
      <name val="Calibri"/>
      <family val="0"/>
    </font>
    <font>
      <b val="true"/>
      <i val="true"/>
      <sz val="14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FFFFFF"/>
        <bgColor rgb="FFFFFFCC"/>
      </patternFill>
    </fill>
    <fill>
      <patternFill patternType="solid">
        <fgColor rgb="FF969696"/>
        <bgColor rgb="FF808080"/>
      </patternFill>
    </fill>
    <fill>
      <patternFill patternType="solid">
        <fgColor rgb="FF99CCFF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6" fontId="6" fillId="0" borderId="0" xfId="0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7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justify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justify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3" fillId="0" borderId="1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6" fontId="0" fillId="0" borderId="1" xfId="0" applyFont="true" applyBorder="true" applyAlignment="true" applyProtection="true">
      <alignment horizontal="left" vertical="bottom" textRotation="0" wrapText="false" indent="0" shrinkToFit="false"/>
      <protection locked="false" hidden="true"/>
    </xf>
    <xf numFmtId="164" fontId="1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5" fillId="0" borderId="1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6" fontId="0" fillId="0" borderId="1" xfId="0" applyFont="false" applyBorder="true" applyAlignment="true" applyProtection="true">
      <alignment horizontal="left" vertical="bottom" textRotation="0" wrapText="false" indent="0" shrinkToFit="false"/>
      <protection locked="false" hidden="true"/>
    </xf>
    <xf numFmtId="168" fontId="0" fillId="0" borderId="1" xfId="0" applyFont="false" applyBorder="true" applyAlignment="true" applyProtection="true">
      <alignment horizontal="left" vertical="bottom" textRotation="0" wrapText="false" indent="0" shrinkToFit="false"/>
      <protection locked="false" hidden="true"/>
    </xf>
    <xf numFmtId="164" fontId="16" fillId="0" borderId="1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8" fontId="0" fillId="0" borderId="1" xfId="0" applyFont="true" applyBorder="true" applyAlignment="true" applyProtection="true">
      <alignment horizontal="left" vertical="bottom" textRotation="0" wrapText="false" indent="0" shrinkToFit="false"/>
      <protection locked="false" hidden="true"/>
    </xf>
    <xf numFmtId="164" fontId="0" fillId="0" borderId="1" xfId="0" applyFont="false" applyBorder="true" applyAlignment="true" applyProtection="true">
      <alignment horizontal="left" vertical="bottom" textRotation="0" wrapText="false" indent="0" shrinkToFit="false"/>
      <protection locked="false" hidden="true"/>
    </xf>
    <xf numFmtId="164" fontId="16" fillId="0" borderId="1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false" hidden="true"/>
    </xf>
    <xf numFmtId="164" fontId="17" fillId="0" borderId="1" xfId="0" applyFont="true" applyBorder="true" applyAlignment="true" applyProtection="true">
      <alignment horizontal="left" vertical="bottom" textRotation="0" wrapText="true" indent="0" shrinkToFit="false"/>
      <protection locked="true" hidden="true"/>
    </xf>
    <xf numFmtId="164" fontId="18" fillId="0" borderId="1" xfId="0" applyFont="true" applyBorder="true" applyAlignment="true" applyProtection="true">
      <alignment horizontal="left" vertical="bottom" textRotation="0" wrapText="true" indent="0" shrinkToFit="false"/>
      <protection locked="true" hidden="true"/>
    </xf>
    <xf numFmtId="166" fontId="0" fillId="0" borderId="1" xfId="0" applyFont="fals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8" fillId="0" borderId="0" xfId="0" applyFont="true" applyBorder="true" applyAlignment="true" applyProtection="true">
      <alignment horizontal="left" vertical="bottom" textRotation="0" wrapText="true" indent="0" shrinkToFit="false"/>
      <protection locked="true" hidden="true"/>
    </xf>
    <xf numFmtId="164" fontId="0" fillId="0" borderId="0" xfId="0" applyFont="false" applyBorder="true" applyAlignment="true" applyProtection="true">
      <alignment horizontal="left" vertical="bottom" textRotation="0" wrapText="false" indent="0" shrinkToFit="false"/>
      <protection locked="false" hidden="tru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true"/>
    </xf>
    <xf numFmtId="166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true"/>
    </xf>
    <xf numFmtId="167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true"/>
    </xf>
    <xf numFmtId="165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true"/>
    </xf>
    <xf numFmtId="169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true"/>
    </xf>
    <xf numFmtId="166" fontId="1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7" fontId="16" fillId="0" borderId="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7" fontId="17" fillId="0" borderId="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6" fontId="17" fillId="0" borderId="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9" fontId="17" fillId="0" borderId="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false" hidden="true"/>
    </xf>
    <xf numFmtId="164" fontId="2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6" fontId="6" fillId="3" borderId="0" xfId="0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7" fontId="4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justify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justify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6" fontId="0" fillId="3" borderId="1" xfId="0" applyFont="true" applyBorder="true" applyAlignment="true" applyProtection="true">
      <alignment horizontal="left" vertical="bottom" textRotation="0" wrapText="false" indent="0" shrinkToFit="false"/>
      <protection locked="false" hidden="true"/>
    </xf>
    <xf numFmtId="164" fontId="23" fillId="3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24" fillId="3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4" fillId="3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5" fillId="3" borderId="1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6" fontId="0" fillId="3" borderId="1" xfId="0" applyFont="false" applyBorder="true" applyAlignment="true" applyProtection="true">
      <alignment horizontal="left" vertical="bottom" textRotation="0" wrapText="false" indent="0" shrinkToFit="false"/>
      <protection locked="false" hidden="tru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1" xfId="0" applyFont="false" applyBorder="true" applyAlignment="true" applyProtection="true">
      <alignment horizontal="left" vertical="bottom" textRotation="0" wrapText="false" indent="0" shrinkToFit="false"/>
      <protection locked="false" hidden="true"/>
    </xf>
    <xf numFmtId="164" fontId="16" fillId="3" borderId="1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4" fontId="24" fillId="3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0" fillId="3" borderId="1" xfId="0" applyFont="false" applyBorder="true" applyAlignment="true" applyProtection="true">
      <alignment horizontal="left" vertical="bottom" textRotation="0" wrapText="false" indent="0" shrinkToFit="false"/>
      <protection locked="false" hidden="true"/>
    </xf>
    <xf numFmtId="164" fontId="2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left" vertical="bottom" textRotation="0" wrapText="false" indent="0" shrinkToFit="false"/>
      <protection locked="false" hidden="tru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true">
      <alignment horizontal="left" vertical="bottom" textRotation="0" wrapText="true" indent="0" shrinkToFit="false"/>
      <protection locked="true" hidden="true"/>
    </xf>
    <xf numFmtId="164" fontId="18" fillId="3" borderId="1" xfId="0" applyFont="true" applyBorder="true" applyAlignment="true" applyProtection="true">
      <alignment horizontal="left" vertical="bottom" textRotation="0" wrapText="true" indent="0" shrinkToFit="false"/>
      <protection locked="true" hidden="true"/>
    </xf>
    <xf numFmtId="164" fontId="4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3" borderId="1" xfId="0" applyFont="true" applyBorder="true" applyAlignment="true" applyProtection="true">
      <alignment horizontal="general" vertical="top" textRotation="0" wrapText="false" indent="0" shrinkToFit="false"/>
      <protection locked="true" hidden="true"/>
    </xf>
    <xf numFmtId="167" fontId="16" fillId="3" borderId="1" xfId="0" applyFont="true" applyBorder="true" applyAlignment="true" applyProtection="true">
      <alignment horizontal="general" vertical="top" textRotation="0" wrapText="true" indent="0" shrinkToFit="false"/>
      <protection locked="true" hidden="true"/>
    </xf>
    <xf numFmtId="167" fontId="17" fillId="3" borderId="1" xfId="0" applyFont="true" applyBorder="true" applyAlignment="true" applyProtection="true">
      <alignment horizontal="general" vertical="top" textRotation="0" wrapText="true" indent="0" shrinkToFit="false"/>
      <protection locked="true" hidden="true"/>
    </xf>
    <xf numFmtId="166" fontId="17" fillId="3" borderId="1" xfId="0" applyFont="true" applyBorder="true" applyAlignment="true" applyProtection="true">
      <alignment horizontal="general" vertical="top" textRotation="0" wrapText="true" indent="0" shrinkToFit="false"/>
      <protection locked="true" hidden="true"/>
    </xf>
    <xf numFmtId="164" fontId="0" fillId="3" borderId="0" xfId="0" applyFont="false" applyBorder="false" applyAlignment="false" applyProtection="true">
      <alignment horizontal="general" vertical="bottom" textRotation="0" wrapText="false" indent="0" shrinkToFit="false"/>
      <protection locked="true" hidden="true"/>
    </xf>
    <xf numFmtId="167" fontId="0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true"/>
    </xf>
    <xf numFmtId="167" fontId="0" fillId="3" borderId="0" xfId="0" applyFont="true" applyBorder="true" applyAlignment="false" applyProtection="true">
      <alignment horizontal="general" vertical="bottom" textRotation="0" wrapText="false" indent="0" shrinkToFit="false"/>
      <protection locked="false" hidden="tru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3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externalLink" Target="externalLinks/externalLink1.xml"/><Relationship Id="rId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685440</xdr:colOff>
      <xdr:row>5</xdr:row>
      <xdr:rowOff>0</xdr:rowOff>
    </xdr:from>
    <xdr:to>
      <xdr:col>9</xdr:col>
      <xdr:colOff>1667520</xdr:colOff>
      <xdr:row>5</xdr:row>
      <xdr:rowOff>199080</xdr:rowOff>
    </xdr:to>
    <xdr:sp>
      <xdr:nvSpPr>
        <xdr:cNvPr id="1" name="Прямоугольник 1"/>
        <xdr:cNvSpPr/>
      </xdr:nvSpPr>
      <xdr:spPr>
        <a:xfrm>
          <a:off x="11132640" y="1095480"/>
          <a:ext cx="4931640" cy="199080"/>
        </a:xfrm>
        <a:prstGeom prst="rect">
          <a:avLst/>
        </a:prstGeom>
        <a:gradFill rotWithShape="0">
          <a:gsLst>
            <a:gs pos="0">
              <a:srgbClr val="BCBCBC"/>
            </a:gs>
            <a:gs pos="100000">
              <a:srgbClr val="EDEDED"/>
            </a:gs>
          </a:gsLst>
          <a:lin ang="16200000"/>
        </a:gradFill>
        <a:ln w="9360">
          <a:solidFill>
            <a:srgbClr val="000000"/>
          </a:solidFill>
          <a:miter/>
        </a:ln>
        <a:effectLst>
          <a:outerShdw dist="20160" dir="5400000" rotWithShape="0">
            <a:srgbClr val="000000">
              <a:alpha val="38000"/>
            </a:srgbClr>
          </a:outerShdw>
        </a:effectLst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noAutofit/>
        </a:bodyPr>
        <a:p>
          <a:r>
            <a:rPr lang="ru-RU" sz="1200" b="0" u="none" strike="noStrike">
              <a:solidFill>
                <a:srgbClr val="000000"/>
              </a:solidFill>
              <a:effectLst/>
              <a:uFillTx/>
              <a:latin typeface="Calibri"/>
            </a:rPr>
            <a:t>Внесите номер и дату договора о переводе денежных средств.</a:t>
          </a:r>
          <a:endParaRPr lang="ru-RU" sz="1200" b="0" u="none" strike="noStrike">
            <a:effectLst/>
            <a:uFillTx/>
            <a:latin typeface="Times New Roman"/>
          </a:endParaRPr>
        </a:p>
        <a:p>
          <a:endParaRPr lang="ru-RU" sz="1200" b="0" u="none" strike="noStrike">
            <a:effectLst/>
            <a:uFillTx/>
            <a:latin typeface="Times New Roman"/>
          </a:endParaRPr>
        </a:p>
        <a:p>
          <a:endParaRPr lang="ru-RU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6</xdr:col>
      <xdr:colOff>79920</xdr:colOff>
      <xdr:row>13</xdr:row>
      <xdr:rowOff>114120</xdr:rowOff>
    </xdr:from>
    <xdr:to>
      <xdr:col>7</xdr:col>
      <xdr:colOff>691560</xdr:colOff>
      <xdr:row>15</xdr:row>
      <xdr:rowOff>47880</xdr:rowOff>
    </xdr:to>
    <xdr:cxnSp>
      <xdr:nvCxnSpPr>
        <xdr:cNvPr id="2" name="Прямая со стрелкой 2"/>
        <xdr:cNvCxnSpPr/>
      </xdr:nvCxnSpPr>
      <xdr:spPr>
        <a:xfrm flipH="1">
          <a:off x="9491400" y="2809800"/>
          <a:ext cx="1647720" cy="372240"/>
        </a:xfrm>
        <a:prstGeom prst="straightConnector1">
          <a:avLst/>
        </a:prstGeom>
        <a:ln w="9360">
          <a:solidFill>
            <a:srgbClr val="000000"/>
          </a:solidFill>
          <a:miter/>
          <a:tailEnd len="med" type="arrow" w="med"/>
        </a:ln>
      </xdr:spPr>
    </xdr:cxnSp>
    <xdr:clientData/>
  </xdr:twoCellAnchor>
  <xdr:twoCellAnchor editAs="oneCell">
    <xdr:from>
      <xdr:col>3</xdr:col>
      <xdr:colOff>653400</xdr:colOff>
      <xdr:row>35</xdr:row>
      <xdr:rowOff>181080</xdr:rowOff>
    </xdr:from>
    <xdr:to>
      <xdr:col>5</xdr:col>
      <xdr:colOff>996120</xdr:colOff>
      <xdr:row>36</xdr:row>
      <xdr:rowOff>189720</xdr:rowOff>
    </xdr:to>
    <xdr:sp>
      <xdr:nvSpPr>
        <xdr:cNvPr id="3" name="Прямоугольник 3"/>
        <xdr:cNvSpPr/>
      </xdr:nvSpPr>
      <xdr:spPr>
        <a:xfrm>
          <a:off x="5729040" y="7858080"/>
          <a:ext cx="3642840" cy="199440"/>
        </a:xfrm>
        <a:prstGeom prst="rect">
          <a:avLst/>
        </a:prstGeom>
        <a:gradFill rotWithShape="0">
          <a:gsLst>
            <a:gs pos="0">
              <a:srgbClr val="BCBCBC"/>
            </a:gs>
            <a:gs pos="100000">
              <a:srgbClr val="EDEDED"/>
            </a:gs>
          </a:gsLst>
          <a:lin ang="16200000"/>
        </a:gradFill>
        <a:ln w="9360">
          <a:solidFill>
            <a:srgbClr val="000000"/>
          </a:solidFill>
          <a:miter/>
        </a:ln>
        <a:effectLst>
          <a:outerShdw dist="20160" dir="5400000" rotWithShape="0">
            <a:srgbClr val="000000">
              <a:alpha val="38000"/>
            </a:srgbClr>
          </a:outerShdw>
        </a:effectLst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noAutofit/>
        </a:bodyPr>
        <a:p>
          <a:r>
            <a:rPr lang="ru-RU" sz="1200" b="0" u="none" strike="noStrike">
              <a:solidFill>
                <a:srgbClr val="000000"/>
              </a:solidFill>
              <a:effectLst/>
              <a:uFillTx/>
              <a:latin typeface="Calibri"/>
            </a:rPr>
            <a:t>Внесите название организации без "".</a:t>
          </a:r>
          <a:endParaRPr lang="ru-RU" sz="1200" b="0" u="none" strike="noStrike">
            <a:effectLst/>
            <a:uFillTx/>
            <a:latin typeface="Times New Roman"/>
          </a:endParaRPr>
        </a:p>
        <a:p>
          <a:endParaRPr lang="ru-RU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</xdr:col>
      <xdr:colOff>653400</xdr:colOff>
      <xdr:row>36</xdr:row>
      <xdr:rowOff>190440</xdr:rowOff>
    </xdr:from>
    <xdr:to>
      <xdr:col>5</xdr:col>
      <xdr:colOff>996120</xdr:colOff>
      <xdr:row>37</xdr:row>
      <xdr:rowOff>190080</xdr:rowOff>
    </xdr:to>
    <xdr:sp>
      <xdr:nvSpPr>
        <xdr:cNvPr id="4" name="Прямоугольник 4"/>
        <xdr:cNvSpPr/>
      </xdr:nvSpPr>
      <xdr:spPr>
        <a:xfrm>
          <a:off x="5729040" y="8058240"/>
          <a:ext cx="3642840" cy="199440"/>
        </a:xfrm>
        <a:prstGeom prst="rect">
          <a:avLst/>
        </a:prstGeom>
        <a:gradFill rotWithShape="0">
          <a:gsLst>
            <a:gs pos="0">
              <a:srgbClr val="BCBCBC"/>
            </a:gs>
            <a:gs pos="100000">
              <a:srgbClr val="EDEDED"/>
            </a:gs>
          </a:gsLst>
          <a:lin ang="16200000"/>
        </a:gradFill>
        <a:ln w="9360">
          <a:solidFill>
            <a:srgbClr val="000000"/>
          </a:solidFill>
          <a:miter/>
        </a:ln>
        <a:effectLst>
          <a:outerShdw dist="20160" dir="5400000" rotWithShape="0">
            <a:srgbClr val="000000">
              <a:alpha val="38000"/>
            </a:srgbClr>
          </a:outerShdw>
        </a:effectLst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noAutofit/>
        </a:bodyPr>
        <a:p>
          <a:r>
            <a:rPr lang="ru-RU" sz="1200" b="0" u="none" strike="noStrike">
              <a:solidFill>
                <a:srgbClr val="000000"/>
              </a:solidFill>
              <a:effectLst/>
              <a:uFillTx/>
              <a:latin typeface="Calibri"/>
            </a:rPr>
            <a:t>Внесите ИНН организации.</a:t>
          </a:r>
          <a:endParaRPr lang="ru-RU" sz="1200" b="0" u="none" strike="noStrike">
            <a:effectLst/>
            <a:uFillTx/>
            <a:latin typeface="Times New Roman"/>
          </a:endParaRPr>
        </a:p>
        <a:p>
          <a:endParaRPr lang="ru-RU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</xdr:col>
      <xdr:colOff>653400</xdr:colOff>
      <xdr:row>41</xdr:row>
      <xdr:rowOff>0</xdr:rowOff>
    </xdr:from>
    <xdr:to>
      <xdr:col>5</xdr:col>
      <xdr:colOff>996120</xdr:colOff>
      <xdr:row>41</xdr:row>
      <xdr:rowOff>199440</xdr:rowOff>
    </xdr:to>
    <xdr:sp>
      <xdr:nvSpPr>
        <xdr:cNvPr id="5" name="Прямоугольник 5"/>
        <xdr:cNvSpPr/>
      </xdr:nvSpPr>
      <xdr:spPr>
        <a:xfrm>
          <a:off x="5729040" y="8839080"/>
          <a:ext cx="3642840" cy="199440"/>
        </a:xfrm>
        <a:prstGeom prst="rect">
          <a:avLst/>
        </a:prstGeom>
        <a:gradFill rotWithShape="0">
          <a:gsLst>
            <a:gs pos="0">
              <a:srgbClr val="BCBCBC"/>
            </a:gs>
            <a:gs pos="100000">
              <a:srgbClr val="EDEDED"/>
            </a:gs>
          </a:gsLst>
          <a:lin ang="16200000"/>
        </a:gradFill>
        <a:ln w="9360">
          <a:solidFill>
            <a:srgbClr val="000000"/>
          </a:solidFill>
          <a:miter/>
        </a:ln>
        <a:effectLst>
          <a:outerShdw dist="20160" dir="5400000" rotWithShape="0">
            <a:srgbClr val="000000">
              <a:alpha val="38000"/>
            </a:srgbClr>
          </a:outerShdw>
        </a:effectLst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noAutofit/>
        </a:bodyPr>
        <a:p>
          <a:r>
            <a:rPr lang="ru-RU" sz="1200" b="0" u="none" strike="noStrike">
              <a:solidFill>
                <a:srgbClr val="000000"/>
              </a:solidFill>
              <a:effectLst/>
              <a:uFillTx/>
              <a:latin typeface="Calibri"/>
            </a:rPr>
            <a:t>Внесите дату составления ведомости.</a:t>
          </a:r>
          <a:endParaRPr lang="ru-RU" sz="1200" b="0" u="none" strike="noStrike">
            <a:effectLst/>
            <a:uFillTx/>
            <a:latin typeface="Times New Roman"/>
          </a:endParaRPr>
        </a:p>
        <a:p>
          <a:endParaRPr lang="ru-RU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</xdr:col>
      <xdr:colOff>653400</xdr:colOff>
      <xdr:row>43</xdr:row>
      <xdr:rowOff>47520</xdr:rowOff>
    </xdr:from>
    <xdr:to>
      <xdr:col>5</xdr:col>
      <xdr:colOff>1006200</xdr:colOff>
      <xdr:row>45</xdr:row>
      <xdr:rowOff>47160</xdr:rowOff>
    </xdr:to>
    <xdr:sp>
      <xdr:nvSpPr>
        <xdr:cNvPr id="6" name="Прямоугольник 6"/>
        <xdr:cNvSpPr/>
      </xdr:nvSpPr>
      <xdr:spPr>
        <a:xfrm>
          <a:off x="5729040" y="9286920"/>
          <a:ext cx="3652920" cy="389880"/>
        </a:xfrm>
        <a:prstGeom prst="rect">
          <a:avLst/>
        </a:prstGeom>
        <a:gradFill rotWithShape="0">
          <a:gsLst>
            <a:gs pos="0">
              <a:srgbClr val="BCBCBC"/>
            </a:gs>
            <a:gs pos="100000">
              <a:srgbClr val="EDEDED"/>
            </a:gs>
          </a:gsLst>
          <a:lin ang="16200000"/>
        </a:gradFill>
        <a:ln w="9360">
          <a:solidFill>
            <a:srgbClr val="000000"/>
          </a:solidFill>
          <a:miter/>
        </a:ln>
        <a:effectLst>
          <a:outerShdw dist="20160" dir="5400000" rotWithShape="0">
            <a:srgbClr val="000000">
              <a:alpha val="38000"/>
            </a:srgbClr>
          </a:outerShdw>
        </a:effectLst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noAutofit/>
        </a:bodyPr>
        <a:p>
          <a:r>
            <a:rPr lang="ru-RU" sz="1200" b="0" u="none" strike="noStrike">
              <a:solidFill>
                <a:srgbClr val="000000"/>
              </a:solidFill>
              <a:effectLst/>
              <a:uFillTx/>
              <a:latin typeface="Calibri"/>
            </a:rPr>
            <a:t>Укажите валюту, в которой делаете перечисления.</a:t>
          </a:r>
          <a:endParaRPr lang="ru-RU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</xdr:col>
      <xdr:colOff>633600</xdr:colOff>
      <xdr:row>46</xdr:row>
      <xdr:rowOff>9360</xdr:rowOff>
    </xdr:from>
    <xdr:to>
      <xdr:col>5</xdr:col>
      <xdr:colOff>986040</xdr:colOff>
      <xdr:row>49</xdr:row>
      <xdr:rowOff>123840</xdr:rowOff>
    </xdr:to>
    <xdr:sp>
      <xdr:nvSpPr>
        <xdr:cNvPr id="7" name="Прямоугольник 7"/>
        <xdr:cNvSpPr/>
      </xdr:nvSpPr>
      <xdr:spPr>
        <a:xfrm>
          <a:off x="5709240" y="9829800"/>
          <a:ext cx="3652560" cy="819000"/>
        </a:xfrm>
        <a:prstGeom prst="rect">
          <a:avLst/>
        </a:prstGeom>
        <a:gradFill rotWithShape="0">
          <a:gsLst>
            <a:gs pos="0">
              <a:srgbClr val="BCBCBC"/>
            </a:gs>
            <a:gs pos="100000">
              <a:srgbClr val="EDEDED"/>
            </a:gs>
          </a:gsLst>
          <a:lin ang="16200000"/>
        </a:gradFill>
        <a:ln w="9360">
          <a:solidFill>
            <a:srgbClr val="000000"/>
          </a:solidFill>
          <a:miter/>
        </a:ln>
        <a:effectLst>
          <a:outerShdw dist="20160" dir="5400000" rotWithShape="0">
            <a:srgbClr val="000000">
              <a:alpha val="38000"/>
            </a:srgbClr>
          </a:outerShdw>
        </a:effectLst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noAutofit/>
        </a:bodyPr>
        <a:p>
          <a:r>
            <a:rPr lang="ru-RU" sz="1200" b="0" u="none" strike="noStrike">
              <a:solidFill>
                <a:srgbClr val="000000"/>
              </a:solidFill>
              <a:effectLst/>
              <a:uFillTx/>
              <a:latin typeface="Calibri"/>
            </a:rPr>
            <a:t>Укажите информацию о вашем регионе (первые 3 заглавных русских буквы названия региона, или уточните у менеджера).</a:t>
          </a:r>
          <a:endParaRPr lang="ru-RU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</xdr:col>
      <xdr:colOff>0</xdr:colOff>
      <xdr:row>124</xdr:row>
      <xdr:rowOff>38160</xdr:rowOff>
    </xdr:from>
    <xdr:to>
      <xdr:col>9</xdr:col>
      <xdr:colOff>1938960</xdr:colOff>
      <xdr:row>171</xdr:row>
      <xdr:rowOff>123480</xdr:rowOff>
    </xdr:to>
    <xdr:sp>
      <xdr:nvSpPr>
        <xdr:cNvPr id="8" name="Прямоугольник 8"/>
        <xdr:cNvSpPr/>
      </xdr:nvSpPr>
      <xdr:spPr>
        <a:xfrm>
          <a:off x="638280" y="25727040"/>
          <a:ext cx="15697440" cy="8667360"/>
        </a:xfrm>
        <a:prstGeom prst="rect">
          <a:avLst/>
        </a:prstGeom>
        <a:gradFill rotWithShape="0">
          <a:gsLst>
            <a:gs pos="0">
              <a:srgbClr val="BCBCBC"/>
            </a:gs>
            <a:gs pos="100000">
              <a:srgbClr val="EDEDED"/>
            </a:gs>
          </a:gsLst>
          <a:lin ang="16200000"/>
        </a:gradFill>
        <a:ln w="9360">
          <a:solidFill>
            <a:srgbClr val="000000"/>
          </a:solidFill>
          <a:miter/>
        </a:ln>
        <a:effectLst>
          <a:outerShdw dist="20160" dir="5400000" rotWithShape="0">
            <a:srgbClr val="000000">
              <a:alpha val="38000"/>
            </a:srgbClr>
          </a:outerShdw>
        </a:effectLst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r>
            <a:rPr lang="ru-RU" sz="1200" b="1" u="none" strike="noStrike">
              <a:solidFill>
                <a:srgbClr val="000000"/>
              </a:solidFill>
              <a:effectLst/>
              <a:uFillTx/>
              <a:latin typeface="Calibri"/>
            </a:rPr>
            <a:t>При перечислении необходимо:</a:t>
          </a:r>
          <a:endParaRPr lang="ru-RU" sz="1200" b="0" u="none" strike="noStrike">
            <a:effectLst/>
            <a:uFillTx/>
            <a:latin typeface="Times New Roman"/>
          </a:endParaRPr>
        </a:p>
        <a:p>
          <a:endParaRPr lang="ru-RU" sz="1200" b="0" u="none" strike="noStrike">
            <a:effectLst/>
            <a:uFillTx/>
            <a:latin typeface="Times New Roman"/>
          </a:endParaRPr>
        </a:p>
        <a:p>
          <a:r>
            <a:rPr lang="ru-RU" sz="1200" b="0" u="none" strike="noStrike">
              <a:solidFill>
                <a:srgbClr val="000000"/>
              </a:solidFill>
              <a:effectLst/>
              <a:uFillTx/>
              <a:latin typeface="Calibri"/>
            </a:rPr>
            <a:t>1. Сформировать электронный файл.</a:t>
          </a:r>
          <a:endParaRPr lang="ru-RU" sz="1200" b="0" u="none" strike="noStrike">
            <a:effectLst/>
            <a:uFillTx/>
            <a:latin typeface="Times New Roman"/>
          </a:endParaRPr>
        </a:p>
        <a:p>
          <a:r>
            <a:rPr lang="ru-RU" sz="1200" b="0" u="none" strike="noStrike">
              <a:solidFill>
                <a:srgbClr val="000000"/>
              </a:solidFill>
              <a:effectLst/>
              <a:uFillTx/>
              <a:latin typeface="Calibri"/>
            </a:rPr>
            <a:t>2. Прикрепить его к электронному письму по программе Банк-Клиент.</a:t>
          </a:r>
          <a:endParaRPr lang="ru-RU" sz="1200" b="0" u="none" strike="noStrike">
            <a:effectLst/>
            <a:uFillTx/>
            <a:latin typeface="Times New Roman"/>
          </a:endParaRPr>
        </a:p>
        <a:p>
          <a:r>
            <a:rPr lang="ru-RU" sz="1200" b="0" u="none" strike="noStrike">
              <a:solidFill>
                <a:srgbClr val="000000"/>
              </a:solidFill>
              <a:effectLst/>
              <a:uFillTx/>
              <a:latin typeface="Calibri"/>
            </a:rPr>
            <a:t>3. Перечислить денежные средства, оформив платежные поручения  </a:t>
          </a:r>
          <a:r>
            <a:rPr lang="ru-RU" sz="1200" b="1" u="sng" strike="noStrike">
              <a:solidFill>
                <a:srgbClr val="000000"/>
              </a:solidFill>
              <a:effectLst/>
              <a:uFillTx/>
              <a:latin typeface="Calibri"/>
            </a:rPr>
            <a:t>отдельно</a:t>
          </a:r>
          <a:r>
            <a:rPr lang="ru-RU" sz="1200" b="0" u="sng" strike="noStrike">
              <a:solidFill>
                <a:srgbClr val="000000"/>
              </a:solidFill>
              <a:effectLst/>
              <a:uFillTx/>
              <a:latin typeface="Calibri"/>
            </a:rPr>
            <a:t> на основную сумму по файлу и на сумму комиссии. </a:t>
          </a:r>
          <a:endParaRPr lang="ru-RU" sz="1200" b="0" u="none" strike="noStrike">
            <a:effectLst/>
            <a:uFillTx/>
            <a:latin typeface="Times New Roman"/>
          </a:endParaRPr>
        </a:p>
        <a:p>
          <a:endParaRPr lang="ru-RU" sz="1200" b="0" u="none" strike="noStrike">
            <a:effectLst/>
            <a:uFillTx/>
            <a:latin typeface="Times New Roman"/>
          </a:endParaRPr>
        </a:p>
        <a:p>
          <a:endParaRPr lang="ru-RU" sz="1200" b="0" u="none" strike="noStrike">
            <a:effectLst/>
            <a:uFillTx/>
            <a:latin typeface="Times New Roman"/>
          </a:endParaRPr>
        </a:p>
        <a:p>
          <a:endParaRPr lang="ru-RU" sz="1200" b="0" u="none" strike="noStrike">
            <a:effectLst/>
            <a:uFillTx/>
            <a:latin typeface="Times New Roman"/>
          </a:endParaRPr>
        </a:p>
        <a:p>
          <a:r>
            <a:rPr lang="ru-RU" sz="1200" b="1" u="sng" strike="noStrike">
              <a:solidFill>
                <a:srgbClr val="000000"/>
              </a:solidFill>
              <a:effectLst/>
              <a:uFillTx/>
              <a:latin typeface="Calibri"/>
            </a:rPr>
            <a:t>Реквизит для перечисления основной суммы:</a:t>
          </a:r>
          <a:endParaRPr lang="ru-RU" sz="1200" b="0" u="none" strike="noStrike">
            <a:effectLst/>
            <a:uFillTx/>
            <a:latin typeface="Times New Roman"/>
          </a:endParaRPr>
        </a:p>
        <a:p>
          <a:r>
            <a:rPr lang="ru-RU" sz="1200" b="0" u="sng" strike="noStrike">
              <a:solidFill>
                <a:srgbClr val="000000"/>
              </a:solidFill>
              <a:effectLst/>
              <a:uFillTx/>
              <a:latin typeface="Calibri"/>
            </a:rPr>
            <a:t>АО «АЛЬФА-БАНК»,</a:t>
          </a:r>
          <a:endParaRPr lang="ru-RU" sz="1200" b="0" u="none" strike="noStrike">
            <a:effectLst/>
            <a:uFillTx/>
            <a:latin typeface="Times New Roman"/>
          </a:endParaRPr>
        </a:p>
        <a:p>
          <a:r>
            <a:rPr lang="ru-RU" sz="1200" b="0" u="sng" strike="noStrike">
              <a:solidFill>
                <a:srgbClr val="000000"/>
              </a:solidFill>
              <a:effectLst/>
              <a:uFillTx/>
              <a:latin typeface="Calibri"/>
            </a:rPr>
            <a:t>корреспондентский счет № 30101810200000000593</a:t>
          </a:r>
          <a:endParaRPr lang="ru-RU" sz="1200" b="0" u="none" strike="noStrike">
            <a:effectLst/>
            <a:uFillTx/>
            <a:latin typeface="Times New Roman"/>
          </a:endParaRPr>
        </a:p>
        <a:p>
          <a:r>
            <a:rPr lang="ru-RU" sz="1200" b="0" u="sng" strike="noStrike">
              <a:solidFill>
                <a:srgbClr val="000000"/>
              </a:solidFill>
              <a:effectLst/>
              <a:uFillTx/>
              <a:latin typeface="Calibri"/>
            </a:rPr>
            <a:t>БИК 044525593</a:t>
          </a:r>
          <a:endParaRPr lang="ru-RU" sz="1200" b="0" u="none" strike="noStrike">
            <a:effectLst/>
            <a:uFillTx/>
            <a:latin typeface="Times New Roman"/>
          </a:endParaRPr>
        </a:p>
        <a:p>
          <a:r>
            <a:rPr lang="ru-RU" sz="1200" b="0" u="sng" strike="noStrike">
              <a:solidFill>
                <a:srgbClr val="000000"/>
              </a:solidFill>
              <a:effectLst/>
              <a:uFillTx/>
              <a:latin typeface="Calibri"/>
            </a:rPr>
            <a:t>ИНН 7728168971</a:t>
          </a:r>
          <a:endParaRPr lang="ru-RU" sz="1200" b="0" u="none" strike="noStrike">
            <a:effectLst/>
            <a:uFillTx/>
            <a:latin typeface="Times New Roman"/>
          </a:endParaRPr>
        </a:p>
        <a:p>
          <a:r>
            <a:rPr lang="ru-RU" sz="1200" b="0" u="sng" strike="noStrike">
              <a:solidFill>
                <a:srgbClr val="000000"/>
              </a:solidFill>
              <a:effectLst/>
              <a:uFillTx/>
              <a:latin typeface="Calibri"/>
            </a:rPr>
            <a:t>счет № 47422810204000000003</a:t>
          </a:r>
          <a:endParaRPr lang="ru-RU" sz="1200" b="0" u="none" strike="noStrike">
            <a:effectLst/>
            <a:uFillTx/>
            <a:latin typeface="Times New Roman"/>
          </a:endParaRPr>
        </a:p>
        <a:p>
          <a:endParaRPr lang="ru-RU" sz="1200" b="0" u="none" strike="noStrike">
            <a:effectLst/>
            <a:uFillTx/>
            <a:latin typeface="Times New Roman"/>
          </a:endParaRPr>
        </a:p>
        <a:p>
          <a:r>
            <a:rPr lang="ru-RU" sz="1200" b="0" u="sng" strike="noStrike">
              <a:solidFill>
                <a:srgbClr val="000000"/>
              </a:solidFill>
              <a:effectLst/>
              <a:uFillTx/>
              <a:latin typeface="Calibri"/>
            </a:rPr>
            <a:t>В поле «Назначение платежа» указывается цель платежа, делается ссылка на перечисление денежных средств по Реестру, его номер, дату, а также указывается категория Работников (резиденты/нерезиденты), в пользу которых осуществляется перечисление денежных средств. Клиент-резидент при перечислении денежных средств в пользу Работников-нерезидентов в обязательном порядке указывает код вида валютной операции в соответствии с требованиями валютного законодательства Российской Федерации. </a:t>
          </a:r>
          <a:endParaRPr lang="ru-RU" sz="1200" b="0" u="none" strike="noStrike">
            <a:effectLst/>
            <a:uFillTx/>
            <a:latin typeface="Times New Roman"/>
          </a:endParaRPr>
        </a:p>
        <a:p>
          <a:endParaRPr lang="ru-RU" sz="1200" b="0" u="none" strike="noStrike">
            <a:effectLst/>
            <a:uFillTx/>
            <a:latin typeface="Times New Roman"/>
          </a:endParaRPr>
        </a:p>
        <a:p>
          <a:r>
            <a:rPr lang="ru-RU" sz="1200" b="1" u="sng" strike="noStrike">
              <a:solidFill>
                <a:srgbClr val="000000"/>
              </a:solidFill>
              <a:effectLst/>
              <a:uFillTx/>
              <a:latin typeface="Calibri"/>
            </a:rPr>
            <a:t>Реквизиты для перечисления суммы комиссии за перевод:</a:t>
          </a:r>
          <a:endParaRPr lang="ru-RU" sz="1200" b="0" u="none" strike="noStrike">
            <a:effectLst/>
            <a:uFillTx/>
            <a:latin typeface="Times New Roman"/>
          </a:endParaRPr>
        </a:p>
        <a:p>
          <a:r>
            <a:rPr lang="ru-RU" sz="1200" b="1" u="sng" strike="noStrike">
              <a:solidFill>
                <a:srgbClr val="FF0000"/>
              </a:solidFill>
              <a:effectLst/>
              <a:uFillTx/>
              <a:latin typeface="Calibri"/>
            </a:rPr>
            <a:t>До 31 декабря 2015 г. включительно:</a:t>
          </a:r>
          <a:endParaRPr lang="ru-RU" sz="1200" b="0" u="none" strike="noStrike">
            <a:effectLst/>
            <a:uFillTx/>
            <a:latin typeface="Times New Roman"/>
          </a:endParaRPr>
        </a:p>
        <a:p>
          <a:r>
            <a:rPr lang="ru-RU" sz="1200" b="0" u="sng" strike="noStrike">
              <a:solidFill>
                <a:srgbClr val="000000"/>
              </a:solidFill>
              <a:effectLst/>
              <a:uFillTx/>
              <a:latin typeface="Calibri"/>
            </a:rPr>
            <a:t>АО «АЛЬФА-БАНК»,</a:t>
          </a:r>
          <a:endParaRPr lang="ru-RU" sz="1200" b="0" u="none" strike="noStrike">
            <a:effectLst/>
            <a:uFillTx/>
            <a:latin typeface="Times New Roman"/>
          </a:endParaRPr>
        </a:p>
        <a:p>
          <a:r>
            <a:rPr lang="ru-RU" sz="1200" b="0" u="sng" strike="noStrike">
              <a:solidFill>
                <a:srgbClr val="000000"/>
              </a:solidFill>
              <a:effectLst/>
              <a:uFillTx/>
              <a:latin typeface="Calibri"/>
            </a:rPr>
            <a:t>корреспондентский счет № 30101810200000000593</a:t>
          </a:r>
          <a:endParaRPr lang="ru-RU" sz="1200" b="0" u="none" strike="noStrike">
            <a:effectLst/>
            <a:uFillTx/>
            <a:latin typeface="Times New Roman"/>
          </a:endParaRPr>
        </a:p>
        <a:p>
          <a:r>
            <a:rPr lang="ru-RU" sz="1200" b="0" u="sng" strike="noStrike">
              <a:solidFill>
                <a:srgbClr val="000000"/>
              </a:solidFill>
              <a:effectLst/>
              <a:uFillTx/>
              <a:latin typeface="Calibri"/>
            </a:rPr>
            <a:t>БИК 044525593</a:t>
          </a:r>
          <a:endParaRPr lang="ru-RU" sz="1200" b="0" u="none" strike="noStrike">
            <a:effectLst/>
            <a:uFillTx/>
            <a:latin typeface="Times New Roman"/>
          </a:endParaRPr>
        </a:p>
        <a:p>
          <a:r>
            <a:rPr lang="ru-RU" sz="1200" b="0" u="sng" strike="noStrike">
              <a:solidFill>
                <a:srgbClr val="000000"/>
              </a:solidFill>
              <a:effectLst/>
              <a:uFillTx/>
              <a:latin typeface="Calibri"/>
            </a:rPr>
            <a:t>ИНН 7728168971 </a:t>
          </a:r>
          <a:endParaRPr lang="ru-RU" sz="1200" b="0" u="none" strike="noStrike">
            <a:effectLst/>
            <a:uFillTx/>
            <a:latin typeface="Times New Roman"/>
          </a:endParaRPr>
        </a:p>
        <a:p>
          <a:r>
            <a:rPr lang="ru-RU" sz="1200" b="0" u="sng" strike="noStrike">
              <a:solidFill>
                <a:srgbClr val="000000"/>
              </a:solidFill>
              <a:effectLst/>
              <a:uFillTx/>
              <a:latin typeface="Calibri"/>
            </a:rPr>
            <a:t>КПП 775001001</a:t>
          </a:r>
          <a:endParaRPr lang="ru-RU" sz="1200" b="0" u="none" strike="noStrike">
            <a:effectLst/>
            <a:uFillTx/>
            <a:latin typeface="Times New Roman"/>
          </a:endParaRPr>
        </a:p>
        <a:p>
          <a:r>
            <a:rPr lang="ru-RU" sz="1200" b="0" u="sng" strike="noStrike">
              <a:solidFill>
                <a:srgbClr val="000000"/>
              </a:solidFill>
              <a:effectLst/>
              <a:uFillTx/>
              <a:latin typeface="Calibri"/>
            </a:rPr>
            <a:t>счет №: </a:t>
          </a:r>
          <a:r>
            <a:rPr lang="ru-RU" sz="1200" b="0" u="sng" strike="noStrike">
              <a:solidFill>
                <a:srgbClr val="0000FF"/>
              </a:solidFill>
              <a:effectLst/>
              <a:uFillTx/>
              <a:latin typeface="Calibri"/>
            </a:rPr>
            <a:t>70601810704001210232</a:t>
          </a:r>
          <a:endParaRPr lang="ru-RU" sz="1200" b="0" u="none" strike="noStrike">
            <a:effectLst/>
            <a:uFillTx/>
            <a:latin typeface="Times New Roman"/>
          </a:endParaRPr>
        </a:p>
        <a:p>
          <a:endParaRPr lang="ru-RU" sz="1200" b="0" u="none" strike="noStrike">
            <a:effectLst/>
            <a:uFillTx/>
            <a:latin typeface="Times New Roman"/>
          </a:endParaRPr>
        </a:p>
        <a:p>
          <a:r>
            <a:rPr lang="ru-RU" sz="1200" b="1" u="none" strike="noStrike">
              <a:solidFill>
                <a:srgbClr val="FF0000"/>
              </a:solidFill>
              <a:effectLst/>
              <a:uFillTx/>
              <a:latin typeface="Calibri"/>
            </a:rPr>
            <a:t>С 01 января 2016 г.:</a:t>
          </a:r>
          <a:endParaRPr lang="ru-RU" sz="1200" b="0" u="none" strike="noStrike">
            <a:effectLst/>
            <a:uFillTx/>
            <a:latin typeface="Times New Roman"/>
          </a:endParaRPr>
        </a:p>
        <a:p>
          <a:r>
            <a:rPr lang="ru-RU" sz="1200" b="0" u="sng" strike="noStrike">
              <a:solidFill>
                <a:srgbClr val="000000"/>
              </a:solidFill>
              <a:effectLst/>
              <a:uFillTx/>
              <a:latin typeface="Calibri"/>
            </a:rPr>
            <a:t>АО «АЛЬФА-БАНК»,</a:t>
          </a:r>
          <a:endParaRPr lang="ru-RU" sz="1200" b="0" u="none" strike="noStrike">
            <a:effectLst/>
            <a:uFillTx/>
            <a:latin typeface="Times New Roman"/>
          </a:endParaRPr>
        </a:p>
        <a:p>
          <a:r>
            <a:rPr lang="ru-RU" sz="1200" b="0" u="sng" strike="noStrike">
              <a:solidFill>
                <a:srgbClr val="000000"/>
              </a:solidFill>
              <a:effectLst/>
              <a:uFillTx/>
              <a:latin typeface="Calibri"/>
            </a:rPr>
            <a:t>корреспондентский счет № 30101810200000000593</a:t>
          </a:r>
          <a:endParaRPr lang="ru-RU" sz="1200" b="0" u="none" strike="noStrike">
            <a:effectLst/>
            <a:uFillTx/>
            <a:latin typeface="Times New Roman"/>
          </a:endParaRPr>
        </a:p>
        <a:p>
          <a:r>
            <a:rPr lang="ru-RU" sz="1200" b="0" u="sng" strike="noStrike">
              <a:solidFill>
                <a:srgbClr val="000000"/>
              </a:solidFill>
              <a:effectLst/>
              <a:uFillTx/>
              <a:latin typeface="Calibri"/>
            </a:rPr>
            <a:t>БИК 044525593</a:t>
          </a:r>
          <a:endParaRPr lang="ru-RU" sz="1200" b="0" u="none" strike="noStrike">
            <a:effectLst/>
            <a:uFillTx/>
            <a:latin typeface="Times New Roman"/>
          </a:endParaRPr>
        </a:p>
        <a:p>
          <a:r>
            <a:rPr lang="ru-RU" sz="1200" b="0" u="sng" strike="noStrike">
              <a:solidFill>
                <a:srgbClr val="000000"/>
              </a:solidFill>
              <a:effectLst/>
              <a:uFillTx/>
              <a:latin typeface="Calibri"/>
            </a:rPr>
            <a:t>ИНН 7728168971 </a:t>
          </a:r>
          <a:endParaRPr lang="ru-RU" sz="1200" b="0" u="none" strike="noStrike">
            <a:effectLst/>
            <a:uFillTx/>
            <a:latin typeface="Times New Roman"/>
          </a:endParaRPr>
        </a:p>
        <a:p>
          <a:r>
            <a:rPr lang="ru-RU" sz="1200" b="0" u="sng" strike="noStrike">
              <a:solidFill>
                <a:srgbClr val="000000"/>
              </a:solidFill>
              <a:effectLst/>
              <a:uFillTx/>
              <a:latin typeface="Calibri"/>
            </a:rPr>
            <a:t>КПП 770801001</a:t>
          </a:r>
          <a:endParaRPr lang="ru-RU" sz="1200" b="0" u="none" strike="noStrike">
            <a:effectLst/>
            <a:uFillTx/>
            <a:latin typeface="Times New Roman"/>
          </a:endParaRPr>
        </a:p>
        <a:p>
          <a:r>
            <a:rPr lang="ru-RU" sz="1200" b="0" u="sng" strike="noStrike">
              <a:solidFill>
                <a:srgbClr val="000000"/>
              </a:solidFill>
              <a:effectLst/>
              <a:uFillTx/>
              <a:latin typeface="Calibri"/>
            </a:rPr>
            <a:t>для юридических лиц – резидентов РФ - счет №: </a:t>
          </a:r>
          <a:r>
            <a:rPr lang="ru-RU" sz="1200" b="0" u="sng" strike="noStrike">
              <a:solidFill>
                <a:srgbClr val="0000FF"/>
              </a:solidFill>
              <a:effectLst/>
              <a:uFillTx/>
              <a:latin typeface="Calibri"/>
            </a:rPr>
            <a:t>70601810904002720204</a:t>
          </a:r>
          <a:r>
            <a:rPr lang="ru-RU" sz="1200" b="0" u="sng" strike="noStrike">
              <a:solidFill>
                <a:srgbClr val="000000"/>
              </a:solidFill>
              <a:effectLst/>
              <a:uFillTx/>
              <a:latin typeface="Calibri"/>
            </a:rPr>
            <a:t> </a:t>
          </a:r>
          <a:endParaRPr lang="ru-RU" sz="1200" b="0" u="none" strike="noStrike">
            <a:effectLst/>
            <a:uFillTx/>
            <a:latin typeface="Times New Roman"/>
          </a:endParaRPr>
        </a:p>
        <a:p>
          <a:r>
            <a:rPr lang="ru-RU" sz="1200" b="0" u="sng" strike="noStrike">
              <a:solidFill>
                <a:srgbClr val="000000"/>
              </a:solidFill>
              <a:effectLst/>
              <a:uFillTx/>
              <a:latin typeface="Calibri"/>
            </a:rPr>
            <a:t>для юридических лиц – нерезидентов РФ - счет № </a:t>
          </a:r>
          <a:r>
            <a:rPr lang="ru-RU" sz="1200" b="0" u="sng" strike="noStrike">
              <a:solidFill>
                <a:srgbClr val="0000FF"/>
              </a:solidFill>
              <a:effectLst/>
              <a:uFillTx/>
              <a:latin typeface="Calibri"/>
            </a:rPr>
            <a:t>70601810804002720207 </a:t>
          </a:r>
          <a:endParaRPr lang="ru-RU" sz="1200" b="0" u="none" strike="noStrike">
            <a:effectLst/>
            <a:uFillTx/>
            <a:latin typeface="Times New Roman"/>
          </a:endParaRPr>
        </a:p>
        <a:p>
          <a:r>
            <a:rPr lang="ru-RU" sz="1200" b="0" u="sng" strike="noStrike">
              <a:solidFill>
                <a:srgbClr val="000000"/>
              </a:solidFill>
              <a:effectLst/>
              <a:uFillTx/>
              <a:latin typeface="Calibri"/>
            </a:rPr>
            <a:t>для индивидуальных предпринимателей - счет № </a:t>
          </a:r>
          <a:r>
            <a:rPr lang="ru-RU" sz="1200" b="0" u="sng" strike="noStrike">
              <a:solidFill>
                <a:srgbClr val="0000FF"/>
              </a:solidFill>
              <a:effectLst/>
              <a:uFillTx/>
              <a:latin typeface="Calibri"/>
            </a:rPr>
            <a:t>70601810104002720305 </a:t>
          </a:r>
          <a:endParaRPr lang="ru-RU" sz="1200" b="0" u="none" strike="noStrike">
            <a:effectLst/>
            <a:uFillTx/>
            <a:latin typeface="Times New Roman"/>
          </a:endParaRPr>
        </a:p>
        <a:p>
          <a:r>
            <a:rPr lang="ru-RU" sz="1200" b="0" u="sng" strike="noStrike">
              <a:solidFill>
                <a:srgbClr val="000000"/>
              </a:solidFill>
              <a:effectLst/>
              <a:uFillTx/>
              <a:latin typeface="Calibri"/>
            </a:rPr>
            <a:t>для кредитных организаций - счет № </a:t>
          </a:r>
          <a:r>
            <a:rPr lang="ru-RU" sz="1200" b="0" u="sng" strike="noStrike">
              <a:solidFill>
                <a:srgbClr val="0000FF"/>
              </a:solidFill>
              <a:effectLst/>
              <a:uFillTx/>
              <a:latin typeface="Calibri"/>
            </a:rPr>
            <a:t>70601810704002720103</a:t>
          </a:r>
          <a:endParaRPr lang="ru-RU" sz="1200" b="0" u="none" strike="noStrike">
            <a:effectLst/>
            <a:uFillTx/>
            <a:latin typeface="Times New Roman"/>
          </a:endParaRPr>
        </a:p>
        <a:p>
          <a:endParaRPr lang="ru-RU" sz="1200" b="0" u="none" strike="noStrike">
            <a:effectLst/>
            <a:uFillTx/>
            <a:latin typeface="Times New Roman"/>
          </a:endParaRPr>
        </a:p>
        <a:p>
          <a:endParaRPr lang="ru-RU" sz="1200" b="0" u="none" strike="noStrike">
            <a:effectLst/>
            <a:uFillTx/>
            <a:latin typeface="Times New Roman"/>
          </a:endParaRPr>
        </a:p>
        <a:p>
          <a:endParaRPr lang="ru-RU" sz="1200" b="0" u="none" strike="noStrike">
            <a:effectLst/>
            <a:uFillTx/>
            <a:latin typeface="Times New Roman"/>
          </a:endParaRPr>
        </a:p>
        <a:p>
          <a:endParaRPr lang="ru-RU" sz="1200" b="0" u="none" strike="noStrike">
            <a:effectLst/>
            <a:uFillTx/>
            <a:latin typeface="Times New Roman"/>
          </a:endParaRPr>
        </a:p>
        <a:p>
          <a:endParaRPr lang="ru-RU" sz="1200" b="0" u="none" strike="noStrike">
            <a:effectLst/>
            <a:uFillTx/>
            <a:latin typeface="Times New Roman"/>
          </a:endParaRPr>
        </a:p>
        <a:p>
          <a:endParaRPr lang="ru-RU" sz="1200" b="0" u="none" strike="noStrike">
            <a:effectLst/>
            <a:uFillTx/>
            <a:latin typeface="Times New Roman"/>
          </a:endParaRPr>
        </a:p>
        <a:p>
          <a:r>
            <a:rPr lang="ru-RU" sz="1200" b="0" u="sng" strike="noStrike">
              <a:solidFill>
                <a:srgbClr val="000000"/>
              </a:solidFill>
              <a:effectLst/>
              <a:uFillTx/>
              <a:latin typeface="Calibri"/>
            </a:rPr>
            <a:t>При оплате комиссии, в соответствующем поле платежного документа указывается: «Комиссия  банка за перевод денежных средств (осуществление расчетов) для зачисления на Текущие счета физических лиц по Договору о перечислении денежных средств от  «______» __________________200___г. № _________ (Платежное поручение № _______ от «_____» ______________200 __г.) НДС не облагается».</a:t>
          </a:r>
          <a:endParaRPr lang="ru-RU" sz="1200" b="0" u="none" strike="noStrike">
            <a:effectLst/>
            <a:uFillTx/>
            <a:latin typeface="Times New Roman"/>
          </a:endParaRPr>
        </a:p>
        <a:p>
          <a:endParaRPr lang="ru-RU" sz="1100" b="0" u="none" strike="noStrike">
            <a:effectLst/>
            <a:uFillTx/>
            <a:latin typeface="Times New Roman"/>
          </a:endParaRPr>
        </a:p>
        <a:p>
          <a:endParaRPr lang="ru-RU" sz="11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7</xdr:col>
      <xdr:colOff>171360</xdr:colOff>
      <xdr:row>91</xdr:row>
      <xdr:rowOff>315000</xdr:rowOff>
    </xdr:from>
    <xdr:to>
      <xdr:col>9</xdr:col>
      <xdr:colOff>2169000</xdr:colOff>
      <xdr:row>95</xdr:row>
      <xdr:rowOff>142200</xdr:rowOff>
    </xdr:to>
    <xdr:sp>
      <xdr:nvSpPr>
        <xdr:cNvPr id="9" name="Прямоугольник 9"/>
        <xdr:cNvSpPr/>
      </xdr:nvSpPr>
      <xdr:spPr>
        <a:xfrm>
          <a:off x="10618560" y="19126800"/>
          <a:ext cx="5947200" cy="884520"/>
        </a:xfrm>
        <a:prstGeom prst="rect">
          <a:avLst/>
        </a:prstGeom>
        <a:gradFill rotWithShape="0">
          <a:gsLst>
            <a:gs pos="0">
              <a:srgbClr val="BCBCBC"/>
            </a:gs>
            <a:gs pos="100000">
              <a:srgbClr val="EDEDED"/>
            </a:gs>
          </a:gsLst>
          <a:lin ang="16200000"/>
        </a:gradFill>
        <a:ln w="9360">
          <a:solidFill>
            <a:srgbClr val="000000"/>
          </a:solidFill>
          <a:miter/>
        </a:ln>
        <a:effectLst>
          <a:outerShdw dist="20160" dir="5400000" rotWithShape="0">
            <a:srgbClr val="000000">
              <a:alpha val="38000"/>
            </a:srgbClr>
          </a:outerShdw>
        </a:effectLst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r>
            <a:rPr lang="ru-RU" sz="1200" b="0" u="none" strike="noStrike">
              <a:solidFill>
                <a:srgbClr val="000000"/>
              </a:solidFill>
              <a:effectLst/>
              <a:uFillTx/>
              <a:latin typeface="Calibri"/>
            </a:rPr>
            <a:t>Внесите номера счетов сотрудников, которым будут производиться начисления.</a:t>
          </a:r>
          <a:endParaRPr lang="ru-RU" sz="1200" b="0" u="none" strike="noStrike">
            <a:effectLst/>
            <a:uFillTx/>
            <a:latin typeface="Times New Roman"/>
          </a:endParaRPr>
        </a:p>
        <a:p>
          <a:r>
            <a:rPr lang="ru-RU" sz="1200" b="0" u="none" strike="noStrike">
              <a:solidFill>
                <a:srgbClr val="000000"/>
              </a:solidFill>
              <a:effectLst/>
              <a:uFillTx/>
              <a:latin typeface="Calibri"/>
            </a:rPr>
            <a:t>(формат ячеек должен быть сохранен: текстовый)</a:t>
          </a:r>
          <a:endParaRPr lang="ru-RU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7</xdr:col>
      <xdr:colOff>171360</xdr:colOff>
      <xdr:row>96</xdr:row>
      <xdr:rowOff>19440</xdr:rowOff>
    </xdr:from>
    <xdr:to>
      <xdr:col>9</xdr:col>
      <xdr:colOff>2181600</xdr:colOff>
      <xdr:row>98</xdr:row>
      <xdr:rowOff>132480</xdr:rowOff>
    </xdr:to>
    <xdr:sp>
      <xdr:nvSpPr>
        <xdr:cNvPr id="10" name="Прямоугольник 10"/>
        <xdr:cNvSpPr/>
      </xdr:nvSpPr>
      <xdr:spPr>
        <a:xfrm>
          <a:off x="10618560" y="20079000"/>
          <a:ext cx="5959800" cy="494280"/>
        </a:xfrm>
        <a:prstGeom prst="rect">
          <a:avLst/>
        </a:prstGeom>
        <a:gradFill rotWithShape="0">
          <a:gsLst>
            <a:gs pos="0">
              <a:srgbClr val="BCBCBC"/>
            </a:gs>
            <a:gs pos="100000">
              <a:srgbClr val="EDEDED"/>
            </a:gs>
          </a:gsLst>
          <a:lin ang="16200000"/>
        </a:gradFill>
        <a:ln w="9360">
          <a:solidFill>
            <a:srgbClr val="000000"/>
          </a:solidFill>
          <a:miter/>
        </a:ln>
        <a:effectLst>
          <a:outerShdw dist="20160" dir="5400000" rotWithShape="0">
            <a:srgbClr val="000000">
              <a:alpha val="38000"/>
            </a:srgbClr>
          </a:outerShdw>
        </a:effectLst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noAutofit/>
        </a:bodyPr>
        <a:p>
          <a:r>
            <a:rPr lang="ru-RU" sz="1200" b="0" u="none" strike="noStrike">
              <a:solidFill>
                <a:srgbClr val="000000"/>
              </a:solidFill>
              <a:effectLst/>
              <a:uFillTx/>
              <a:latin typeface="Calibri"/>
            </a:rPr>
            <a:t>Внесите сумму начислений для каждого счета. </a:t>
          </a:r>
          <a:endParaRPr lang="ru-RU" sz="1200" b="0" u="none" strike="noStrike">
            <a:effectLst/>
            <a:uFillTx/>
            <a:latin typeface="Times New Roman"/>
          </a:endParaRPr>
        </a:p>
        <a:p>
          <a:r>
            <a:rPr lang="ru-RU" sz="1200" b="0" u="none" strike="noStrike">
              <a:solidFill>
                <a:srgbClr val="000000"/>
              </a:solidFill>
              <a:effectLst/>
              <a:uFillTx/>
              <a:latin typeface="Calibri"/>
            </a:rPr>
            <a:t>(формат ячеек должен быть сохранен: числовой, число десятичных знаков - 2)</a:t>
          </a:r>
          <a:endParaRPr lang="ru-RU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7</xdr:col>
      <xdr:colOff>171360</xdr:colOff>
      <xdr:row>90</xdr:row>
      <xdr:rowOff>333360</xdr:rowOff>
    </xdr:from>
    <xdr:to>
      <xdr:col>9</xdr:col>
      <xdr:colOff>2169000</xdr:colOff>
      <xdr:row>91</xdr:row>
      <xdr:rowOff>258120</xdr:rowOff>
    </xdr:to>
    <xdr:sp>
      <xdr:nvSpPr>
        <xdr:cNvPr id="11" name="Прямоугольник 11"/>
        <xdr:cNvSpPr/>
      </xdr:nvSpPr>
      <xdr:spPr>
        <a:xfrm>
          <a:off x="10618560" y="18792720"/>
          <a:ext cx="5947200" cy="277200"/>
        </a:xfrm>
        <a:prstGeom prst="rect">
          <a:avLst/>
        </a:prstGeom>
        <a:gradFill rotWithShape="0">
          <a:gsLst>
            <a:gs pos="0">
              <a:srgbClr val="BCBCBC"/>
            </a:gs>
            <a:gs pos="100000">
              <a:srgbClr val="EDEDED"/>
            </a:gs>
          </a:gsLst>
          <a:lin ang="16200000"/>
        </a:gradFill>
        <a:ln w="9360">
          <a:solidFill>
            <a:srgbClr val="000000"/>
          </a:solidFill>
          <a:miter/>
        </a:ln>
        <a:effectLst>
          <a:outerShdw dist="20160" dir="5400000" rotWithShape="0">
            <a:srgbClr val="000000">
              <a:alpha val="38000"/>
            </a:srgbClr>
          </a:outerShdw>
        </a:effectLst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noAutofit/>
        </a:bodyPr>
        <a:p>
          <a:r>
            <a:rPr lang="ru-RU" sz="1200" b="0" u="none" strike="noStrike">
              <a:solidFill>
                <a:srgbClr val="000000"/>
              </a:solidFill>
              <a:effectLst/>
              <a:uFillTx/>
              <a:latin typeface="Calibri"/>
            </a:rPr>
            <a:t>Эти поля заполнять не требуется.</a:t>
          </a:r>
          <a:endParaRPr lang="ru-RU" sz="1200" b="0" u="none" strike="noStrike">
            <a:effectLst/>
            <a:uFillTx/>
            <a:latin typeface="Times New Roman"/>
          </a:endParaRPr>
        </a:p>
        <a:p>
          <a:r>
            <a:rPr lang="ru-RU" sz="1200" b="0" u="none" strike="noStrike">
              <a:solidFill>
                <a:srgbClr val="000000"/>
              </a:solidFill>
              <a:effectLst/>
              <a:uFillTx/>
              <a:latin typeface="Calibri"/>
            </a:rPr>
            <a:t> </a:t>
          </a:r>
          <a:endParaRPr lang="ru-RU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</xdr:col>
      <xdr:colOff>1226520</xdr:colOff>
      <xdr:row>90</xdr:row>
      <xdr:rowOff>152640</xdr:rowOff>
    </xdr:from>
    <xdr:to>
      <xdr:col>3</xdr:col>
      <xdr:colOff>1229040</xdr:colOff>
      <xdr:row>90</xdr:row>
      <xdr:rowOff>342720</xdr:rowOff>
    </xdr:to>
    <xdr:cxnSp>
      <xdr:nvCxnSpPr>
        <xdr:cNvPr id="12" name="Прямая со стрелкой 12"/>
        <xdr:cNvCxnSpPr/>
      </xdr:nvCxnSpPr>
      <xdr:spPr>
        <a:xfrm flipH="1">
          <a:off x="6302160" y="18612000"/>
          <a:ext cx="2880" cy="190440"/>
        </a:xfrm>
        <a:prstGeom prst="straightConnector1">
          <a:avLst/>
        </a:prstGeom>
        <a:ln w="9360">
          <a:solidFill>
            <a:srgbClr val="000000"/>
          </a:solidFill>
          <a:miter/>
          <a:tailEnd len="med" type="arrow" w="med"/>
        </a:ln>
      </xdr:spPr>
    </xdr:cxnSp>
    <xdr:clientData/>
  </xdr:twoCellAnchor>
  <xdr:twoCellAnchor editAs="oneCell">
    <xdr:from>
      <xdr:col>7</xdr:col>
      <xdr:colOff>261720</xdr:colOff>
      <xdr:row>92</xdr:row>
      <xdr:rowOff>171000</xdr:rowOff>
    </xdr:from>
    <xdr:to>
      <xdr:col>9</xdr:col>
      <xdr:colOff>2079360</xdr:colOff>
      <xdr:row>95</xdr:row>
      <xdr:rowOff>57240</xdr:rowOff>
    </xdr:to>
    <xdr:sp>
      <xdr:nvSpPr>
        <xdr:cNvPr id="13" name="Прямоугольник 13"/>
        <xdr:cNvSpPr/>
      </xdr:nvSpPr>
      <xdr:spPr>
        <a:xfrm>
          <a:off x="10708920" y="19468800"/>
          <a:ext cx="5767200" cy="457560"/>
        </a:xfrm>
        <a:prstGeom prst="rect">
          <a:avLst/>
        </a:prstGeom>
        <a:gradFill rotWithShape="0">
          <a:gsLst>
            <a:gs pos="0">
              <a:srgbClr val="FFA2A1"/>
            </a:gs>
            <a:gs pos="100000">
              <a:srgbClr val="FFE5E5"/>
            </a:gs>
          </a:gsLst>
          <a:lin ang="16200000"/>
        </a:gradFill>
        <a:ln w="9360">
          <a:solidFill>
            <a:srgbClr val="BE4B48"/>
          </a:solidFill>
          <a:miter/>
        </a:ln>
        <a:effectLst>
          <a:outerShdw dist="20160" dir="5400000" rotWithShape="0">
            <a:srgbClr val="000000">
              <a:alpha val="38000"/>
            </a:srgbClr>
          </a:outerShdw>
        </a:effectLst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noAutofit/>
        </a:bodyPr>
        <a:p>
          <a:r>
            <a:rPr lang="ru-RU" sz="1200" b="0" u="none" strike="noStrike">
              <a:solidFill>
                <a:srgbClr val="000000"/>
              </a:solidFill>
              <a:effectLst/>
              <a:uFillTx/>
              <a:latin typeface="Calibri"/>
            </a:rPr>
            <a:t>Не допускается внесение счетов разной резидентности, в случае ошибки реестр будет отклонен!!!</a:t>
          </a:r>
          <a:endParaRPr lang="ru-RU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</xdr:col>
      <xdr:colOff>0</xdr:colOff>
      <xdr:row>111</xdr:row>
      <xdr:rowOff>9360</xdr:rowOff>
    </xdr:from>
    <xdr:to>
      <xdr:col>9</xdr:col>
      <xdr:colOff>1938960</xdr:colOff>
      <xdr:row>120</xdr:row>
      <xdr:rowOff>75600</xdr:rowOff>
    </xdr:to>
    <xdr:grpSp>
      <xdr:nvGrpSpPr>
        <xdr:cNvPr id="14" name="Группа 23"/>
        <xdr:cNvGrpSpPr/>
      </xdr:nvGrpSpPr>
      <xdr:grpSpPr>
        <a:xfrm>
          <a:off x="638280" y="23088600"/>
          <a:ext cx="15697440" cy="1780560"/>
          <a:chOff x="638280" y="23088600"/>
          <a:chExt cx="15697440" cy="1780560"/>
        </a:xfrm>
      </xdr:grpSpPr>
      <xdr:sp>
        <xdr:nvSpPr>
          <xdr:cNvPr id="15" name="Прямоугольник 15"/>
          <xdr:cNvSpPr/>
        </xdr:nvSpPr>
        <xdr:spPr>
          <a:xfrm>
            <a:off x="638280" y="23088600"/>
            <a:ext cx="15697440" cy="1780560"/>
          </a:xfrm>
          <a:prstGeom prst="rect">
            <a:avLst/>
          </a:prstGeom>
          <a:gradFill rotWithShape="0">
            <a:gsLst>
              <a:gs pos="0">
                <a:srgbClr val="BCBCBC"/>
              </a:gs>
              <a:gs pos="100000">
                <a:srgbClr val="EDEDED"/>
              </a:gs>
            </a:gsLst>
            <a:lin ang="16200000"/>
          </a:gradFill>
          <a:ln w="9360">
            <a:solidFill>
              <a:srgbClr val="000000"/>
            </a:solidFill>
            <a:miter/>
          </a:ln>
          <a:effectLst>
            <a:outerShdw dist="20160" dir="5400000" rotWithShape="0">
              <a:srgbClr val="000000">
                <a:alpha val="38000"/>
              </a:srgbClr>
            </a:outerShdw>
          </a:effectLst>
        </xdr:spPr>
        <xdr:style>
          <a:lnRef idx="0"/>
          <a:fillRef idx="0"/>
          <a:effectRef idx="0"/>
          <a:fontRef idx="minor"/>
        </xdr:style>
        <xdr:txBody>
          <a:bodyPr lIns="20160" tIns="20160" rIns="20160" bIns="20160" anchor="t">
            <a:noAutofit/>
          </a:bodyPr>
          <a:p>
            <a:r>
              <a:rPr lang="ru-RU" sz="1200" b="0" u="none" strike="noStrike">
                <a:solidFill>
                  <a:srgbClr val="000000"/>
                </a:solidFill>
                <a:effectLst/>
                <a:uFillTx/>
                <a:latin typeface="Calibri"/>
              </a:rPr>
              <a:t>1) Имя файла и формат при сохранении:</a:t>
            </a:r>
            <a:endParaRPr lang="ru-RU" sz="1200" b="0" u="none" strike="noStrike">
              <a:effectLst/>
              <a:uFillTx/>
              <a:latin typeface="Times New Roman"/>
            </a:endParaRPr>
          </a:p>
          <a:p>
            <a:r>
              <a:rPr lang="ru-RU" sz="1200" b="0" u="none" strike="noStrike">
                <a:solidFill>
                  <a:srgbClr val="000000"/>
                </a:solidFill>
                <a:effectLst/>
                <a:uFillTx/>
                <a:latin typeface="Calibri"/>
              </a:rPr>
              <a:t>     - Именовать файл начисления необходимо по шаблону </a:t>
            </a:r>
            <a:r>
              <a:rPr lang="ru-RU" sz="1200" b="0" i="1" u="none" strike="noStrike">
                <a:solidFill>
                  <a:srgbClr val="000000"/>
                </a:solidFill>
                <a:effectLst/>
                <a:uFillTx/>
                <a:latin typeface="Calibri"/>
              </a:rPr>
              <a:t>ИНН_служ.информация_наим.организации_примечани</a:t>
            </a:r>
            <a:r>
              <a:rPr lang="ru-RU" sz="1200" b="0" u="none" strike="noStrike">
                <a:solidFill>
                  <a:srgbClr val="000000"/>
                </a:solidFill>
                <a:effectLst/>
                <a:uFillTx/>
                <a:latin typeface="Calibri"/>
              </a:rPr>
              <a:t>е</a:t>
            </a:r>
            <a:endParaRPr lang="ru-RU" sz="1200" b="0" u="none" strike="noStrike">
              <a:effectLst/>
              <a:uFillTx/>
              <a:latin typeface="Times New Roman"/>
            </a:endParaRPr>
          </a:p>
          <a:p>
            <a:r>
              <a:rPr lang="ru-RU" sz="1200" b="0" u="none" strike="noStrike">
                <a:solidFill>
                  <a:srgbClr val="000000"/>
                </a:solidFill>
                <a:effectLst/>
                <a:uFillTx/>
                <a:latin typeface="Calibri"/>
              </a:rPr>
              <a:t>     - Формат файла начислений - .XLS, .XLSX</a:t>
            </a:r>
            <a:endParaRPr lang="ru-RU" sz="1200" b="0" u="none" strike="noStrike">
              <a:effectLst/>
              <a:uFillTx/>
              <a:latin typeface="Times New Roman"/>
            </a:endParaRPr>
          </a:p>
          <a:p>
            <a:endParaRPr lang="ru-RU" sz="1200" b="0" u="none" strike="noStrike">
              <a:effectLst/>
              <a:uFillTx/>
              <a:latin typeface="Times New Roman"/>
            </a:endParaRPr>
          </a:p>
          <a:p>
            <a:endParaRPr lang="ru-RU" sz="1200" b="0" u="none" strike="noStrike">
              <a:effectLst/>
              <a:uFillTx/>
              <a:latin typeface="Times New Roman"/>
            </a:endParaRPr>
          </a:p>
          <a:p>
            <a:r>
              <a:rPr lang="ru-RU" sz="1200" b="0" u="none" strike="noStrike">
                <a:solidFill>
                  <a:srgbClr val="000000"/>
                </a:solidFill>
                <a:effectLst/>
                <a:uFillTx/>
                <a:latin typeface="Calibri"/>
              </a:rPr>
              <a:t>2)</a:t>
            </a:r>
            <a:r>
              <a:rPr lang="ru-RU" sz="1400" b="0" u="none" strike="noStrike">
                <a:solidFill>
                  <a:srgbClr val="000000"/>
                </a:solidFill>
                <a:effectLst/>
                <a:uFillTx/>
                <a:latin typeface="Calibri"/>
              </a:rPr>
              <a:t> </a:t>
            </a:r>
            <a:r>
              <a:rPr lang="ru-RU" sz="1200" b="0" u="none" strike="noStrike">
                <a:solidFill>
                  <a:srgbClr val="000000"/>
                </a:solidFill>
                <a:effectLst/>
                <a:uFillTx/>
                <a:latin typeface="Calibri"/>
              </a:rPr>
              <a:t>Сформированный</a:t>
            </a:r>
            <a:r>
              <a:rPr lang="ru-RU" sz="1400" b="0" u="none" strike="noStrike">
                <a:solidFill>
                  <a:srgbClr val="000000"/>
                </a:solidFill>
                <a:effectLst/>
                <a:uFillTx/>
                <a:latin typeface="Calibri"/>
              </a:rPr>
              <a:t> </a:t>
            </a:r>
            <a:r>
              <a:rPr lang="ru-RU" sz="1200" b="0" u="none" strike="noStrike">
                <a:solidFill>
                  <a:srgbClr val="000000"/>
                </a:solidFill>
                <a:effectLst/>
                <a:uFillTx/>
                <a:latin typeface="Calibri"/>
              </a:rPr>
              <a:t>файл начислений отправляется по системе Банк-Клиент, Альфа-Бизнес Онлайн официальным письмом или через портал "Альфа-Зарплата Онлайн". </a:t>
            </a:r>
            <a:endParaRPr lang="ru-RU" sz="1200" b="0" u="none" strike="noStrike">
              <a:effectLst/>
              <a:uFillTx/>
              <a:latin typeface="Times New Roman"/>
            </a:endParaRPr>
          </a:p>
          <a:p>
            <a:endParaRPr lang="ru-RU" sz="1100" b="0" u="none" strike="noStrike">
              <a:effectLst/>
              <a:uFillTx/>
              <a:latin typeface="Times New Roman"/>
            </a:endParaRPr>
          </a:p>
          <a:p>
            <a:endParaRPr lang="ru-RU" sz="1100" b="0" u="none" strike="noStrike">
              <a:effectLst/>
              <a:uFillTx/>
              <a:latin typeface="Times New Roman"/>
            </a:endParaRPr>
          </a:p>
          <a:p>
            <a:endParaRPr lang="ru-RU" sz="1100" b="0" u="none" strike="noStrike">
              <a:effectLst/>
              <a:uFillTx/>
              <a:latin typeface="Times New Roman"/>
            </a:endParaRPr>
          </a:p>
          <a:p>
            <a:endParaRPr lang="ru-RU" sz="1100" b="0" u="none" strike="noStrike">
              <a:effectLst/>
              <a:uFillTx/>
              <a:latin typeface="Times New Roman"/>
            </a:endParaRPr>
          </a:p>
          <a:p>
            <a:endParaRPr lang="ru-RU" sz="1100" b="0" u="none" strike="noStrike">
              <a:effectLst/>
              <a:uFillTx/>
              <a:latin typeface="Times New Roman"/>
            </a:endParaRPr>
          </a:p>
          <a:p>
            <a:endParaRPr lang="ru-RU" sz="1100" b="0" u="none" strike="noStrike">
              <a:effectLst/>
              <a:uFillTx/>
              <a:latin typeface="Times New Roman"/>
            </a:endParaRPr>
          </a:p>
        </xdr:txBody>
      </xdr:sp>
      <xdr:sp>
        <xdr:nvSpPr>
          <xdr:cNvPr id="16" name="Прямоугольник 16"/>
          <xdr:cNvSpPr/>
        </xdr:nvSpPr>
        <xdr:spPr>
          <a:xfrm>
            <a:off x="758520" y="24298200"/>
            <a:ext cx="15455880" cy="399600"/>
          </a:xfrm>
          <a:prstGeom prst="rect">
            <a:avLst/>
          </a:prstGeom>
          <a:gradFill rotWithShape="0">
            <a:gsLst>
              <a:gs pos="0">
                <a:srgbClr val="FFA2A1"/>
              </a:gs>
              <a:gs pos="100000">
                <a:srgbClr val="FFE5E5"/>
              </a:gs>
            </a:gsLst>
            <a:lin ang="16200000"/>
          </a:gradFill>
          <a:ln w="9360">
            <a:solidFill>
              <a:srgbClr val="BE4B48"/>
            </a:solidFill>
            <a:miter/>
          </a:ln>
          <a:effectLst>
            <a:outerShdw dist="20160" dir="5400000" rotWithShape="0">
              <a:srgbClr val="000000">
                <a:alpha val="38000"/>
              </a:srgbClr>
            </a:outerShdw>
          </a:effectLst>
        </xdr:spPr>
        <xdr:style>
          <a:lnRef idx="0"/>
          <a:fillRef idx="0"/>
          <a:effectRef idx="0"/>
          <a:fontRef idx="minor"/>
        </xdr:style>
        <xdr:txBody>
          <a:bodyPr lIns="20160" tIns="20160" rIns="20160" bIns="20160" anchor="ctr">
            <a:noAutofit/>
          </a:bodyPr>
          <a:p>
            <a:r>
              <a:rPr lang="ru-RU" sz="1200" b="0" u="none" strike="noStrike">
                <a:solidFill>
                  <a:srgbClr val="000000"/>
                </a:solidFill>
                <a:effectLst/>
                <a:uFillTx/>
                <a:latin typeface="Calibri"/>
              </a:rPr>
              <a:t>В случае неработоспособности системы файл необходимо направить Менеджеру сопровождения по электронной почте, а также распечатать и заверить вкладку "Реестр" из файла и отправить в Банк в оригинале.  </a:t>
            </a:r>
            <a:endParaRPr lang="ru-RU" sz="1200" b="0" u="none" strike="noStrike">
              <a:effectLst/>
              <a:uFillTx/>
              <a:latin typeface="Times New Roman"/>
            </a:endParaRPr>
          </a:p>
        </xdr:txBody>
      </xdr:sp>
    </xdr:grpSp>
    <xdr:clientData/>
  </xdr:twoCellAnchor>
  <xdr:twoCellAnchor editAs="oneCell">
    <xdr:from>
      <xdr:col>1</xdr:col>
      <xdr:colOff>99720</xdr:colOff>
      <xdr:row>164</xdr:row>
      <xdr:rowOff>114840</xdr:rowOff>
    </xdr:from>
    <xdr:to>
      <xdr:col>9</xdr:col>
      <xdr:colOff>1766520</xdr:colOff>
      <xdr:row>166</xdr:row>
      <xdr:rowOff>105120</xdr:rowOff>
    </xdr:to>
    <xdr:sp>
      <xdr:nvSpPr>
        <xdr:cNvPr id="17" name="Прямоугольник 17"/>
        <xdr:cNvSpPr/>
      </xdr:nvSpPr>
      <xdr:spPr>
        <a:xfrm>
          <a:off x="738000" y="33252480"/>
          <a:ext cx="15425280" cy="313920"/>
        </a:xfrm>
        <a:prstGeom prst="rect">
          <a:avLst/>
        </a:prstGeom>
        <a:gradFill rotWithShape="0">
          <a:gsLst>
            <a:gs pos="0">
              <a:srgbClr val="FFA2A1"/>
            </a:gs>
            <a:gs pos="100000">
              <a:srgbClr val="FFE5E5"/>
            </a:gs>
          </a:gsLst>
          <a:lin ang="16200000"/>
        </a:gradFill>
        <a:ln w="9360">
          <a:solidFill>
            <a:srgbClr val="BE4B48"/>
          </a:solidFill>
          <a:miter/>
        </a:ln>
        <a:effectLst>
          <a:outerShdw dist="20160" dir="5400000" rotWithShape="0">
            <a:srgbClr val="000000">
              <a:alpha val="38000"/>
            </a:srgbClr>
          </a:outerShdw>
        </a:effectLst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noAutofit/>
        </a:bodyPr>
        <a:p>
          <a:r>
            <a:rPr lang="ru-RU" sz="1200" b="1" u="sng" strike="noStrike">
              <a:solidFill>
                <a:srgbClr val="000000"/>
              </a:solidFill>
              <a:effectLst/>
              <a:uFillTx/>
              <a:latin typeface="Calibri"/>
            </a:rPr>
            <a:t>Обращаю Ваше внимание на то, что основная сумма перечисления и сумма комиссии должны точно совпадать с суммой, указанной в файле.</a:t>
          </a:r>
          <a:endParaRPr lang="ru-RU" sz="1200" b="0" u="none" strike="noStrike">
            <a:effectLst/>
            <a:uFillTx/>
            <a:latin typeface="Times New Roman"/>
          </a:endParaRPr>
        </a:p>
        <a:p>
          <a:endParaRPr lang="ru-RU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</xdr:col>
      <xdr:colOff>81000</xdr:colOff>
      <xdr:row>129</xdr:row>
      <xdr:rowOff>123480</xdr:rowOff>
    </xdr:from>
    <xdr:to>
      <xdr:col>9</xdr:col>
      <xdr:colOff>1817640</xdr:colOff>
      <xdr:row>131</xdr:row>
      <xdr:rowOff>27720</xdr:rowOff>
    </xdr:to>
    <xdr:sp>
      <xdr:nvSpPr>
        <xdr:cNvPr id="18" name="Прямоугольник 18"/>
        <xdr:cNvSpPr/>
      </xdr:nvSpPr>
      <xdr:spPr>
        <a:xfrm>
          <a:off x="719280" y="26764920"/>
          <a:ext cx="15495120" cy="285120"/>
        </a:xfrm>
        <a:prstGeom prst="rect">
          <a:avLst/>
        </a:prstGeom>
        <a:gradFill rotWithShape="0">
          <a:gsLst>
            <a:gs pos="0">
              <a:srgbClr val="FFA2A1"/>
            </a:gs>
            <a:gs pos="100000">
              <a:srgbClr val="FFE5E5"/>
            </a:gs>
          </a:gsLst>
          <a:lin ang="16200000"/>
        </a:gradFill>
        <a:ln w="9360">
          <a:solidFill>
            <a:srgbClr val="BE4B48"/>
          </a:solidFill>
          <a:miter/>
        </a:ln>
        <a:effectLst>
          <a:outerShdw dist="20160" dir="5400000" rotWithShape="0">
            <a:srgbClr val="000000">
              <a:alpha val="38000"/>
            </a:srgbClr>
          </a:outerShdw>
        </a:effectLst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noAutofit/>
        </a:bodyPr>
        <a:p>
          <a:r>
            <a:rPr lang="ru-RU" sz="1200" b="1" u="sng" strike="noStrike">
              <a:solidFill>
                <a:srgbClr val="000000"/>
              </a:solidFill>
              <a:effectLst/>
              <a:uFillTx/>
              <a:latin typeface="Calibri"/>
            </a:rPr>
            <a:t>Необходимо также обратить внимание, что начисления резидентам и нерезидентам производятся отдельными платежными поручениями, файлами и реестрами</a:t>
          </a:r>
          <a:r>
            <a:rPr lang="ru-RU" sz="1100" b="1" u="sng" strike="noStrike">
              <a:solidFill>
                <a:srgbClr val="000000"/>
              </a:solidFill>
              <a:effectLst/>
              <a:uFillTx/>
              <a:latin typeface="Calibri"/>
            </a:rPr>
            <a:t>.</a:t>
          </a:r>
          <a:r>
            <a:rPr lang="ru-RU" sz="1100" b="0" u="sng" strike="noStrike">
              <a:solidFill>
                <a:srgbClr val="000000"/>
              </a:solidFill>
              <a:effectLst/>
              <a:uFillTx/>
              <a:latin typeface="Calibri"/>
            </a:rPr>
            <a:t> </a:t>
          </a:r>
          <a:endParaRPr lang="ru-RU" sz="11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</xdr:col>
      <xdr:colOff>653400</xdr:colOff>
      <xdr:row>42</xdr:row>
      <xdr:rowOff>0</xdr:rowOff>
    </xdr:from>
    <xdr:to>
      <xdr:col>5</xdr:col>
      <xdr:colOff>996120</xdr:colOff>
      <xdr:row>42</xdr:row>
      <xdr:rowOff>199080</xdr:rowOff>
    </xdr:to>
    <xdr:sp>
      <xdr:nvSpPr>
        <xdr:cNvPr id="19" name="Прямоугольник 19"/>
        <xdr:cNvSpPr/>
      </xdr:nvSpPr>
      <xdr:spPr>
        <a:xfrm>
          <a:off x="5729040" y="9039240"/>
          <a:ext cx="3642840" cy="199080"/>
        </a:xfrm>
        <a:prstGeom prst="rect">
          <a:avLst/>
        </a:prstGeom>
        <a:gradFill rotWithShape="0">
          <a:gsLst>
            <a:gs pos="0">
              <a:srgbClr val="BCBCBC"/>
            </a:gs>
            <a:gs pos="100000">
              <a:srgbClr val="EDEDED"/>
            </a:gs>
          </a:gsLst>
          <a:lin ang="16200000"/>
        </a:gradFill>
        <a:ln w="9360">
          <a:solidFill>
            <a:srgbClr val="000000"/>
          </a:solidFill>
          <a:miter/>
        </a:ln>
        <a:effectLst>
          <a:outerShdw dist="20160" dir="5400000" rotWithShape="0">
            <a:srgbClr val="000000">
              <a:alpha val="38000"/>
            </a:srgbClr>
          </a:outerShdw>
        </a:effectLst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noAutofit/>
        </a:bodyPr>
        <a:p>
          <a:r>
            <a:rPr lang="ru-RU" sz="1200" b="0" u="none" strike="noStrike">
              <a:solidFill>
                <a:srgbClr val="000000"/>
              </a:solidFill>
              <a:effectLst/>
              <a:uFillTx/>
              <a:latin typeface="Calibri"/>
            </a:rPr>
            <a:t>Поставьте основание платежа. </a:t>
          </a:r>
          <a:endParaRPr lang="ru-RU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</xdr:col>
      <xdr:colOff>1308960</xdr:colOff>
      <xdr:row>36</xdr:row>
      <xdr:rowOff>103680</xdr:rowOff>
    </xdr:from>
    <xdr:to>
      <xdr:col>3</xdr:col>
      <xdr:colOff>667440</xdr:colOff>
      <xdr:row>36</xdr:row>
      <xdr:rowOff>104760</xdr:rowOff>
    </xdr:to>
    <xdr:cxnSp>
      <xdr:nvCxnSpPr>
        <xdr:cNvPr id="20" name="Прямая со стрелкой 20"/>
        <xdr:cNvCxnSpPr/>
      </xdr:nvCxnSpPr>
      <xdr:spPr>
        <a:xfrm flipH="1">
          <a:off x="3878640" y="7971480"/>
          <a:ext cx="1864800" cy="1440"/>
        </a:xfrm>
        <a:prstGeom prst="straightConnector1">
          <a:avLst/>
        </a:prstGeom>
        <a:ln w="9360">
          <a:solidFill>
            <a:srgbClr val="000000"/>
          </a:solidFill>
          <a:miter/>
          <a:tailEnd len="med" type="arrow" w="med"/>
        </a:ln>
      </xdr:spPr>
    </xdr:cxnSp>
    <xdr:clientData/>
  </xdr:twoCellAnchor>
  <xdr:twoCellAnchor editAs="oneCell">
    <xdr:from>
      <xdr:col>2</xdr:col>
      <xdr:colOff>1308600</xdr:colOff>
      <xdr:row>37</xdr:row>
      <xdr:rowOff>76320</xdr:rowOff>
    </xdr:from>
    <xdr:to>
      <xdr:col>3</xdr:col>
      <xdr:colOff>655200</xdr:colOff>
      <xdr:row>37</xdr:row>
      <xdr:rowOff>77040</xdr:rowOff>
    </xdr:to>
    <xdr:cxnSp>
      <xdr:nvCxnSpPr>
        <xdr:cNvPr id="21" name="Прямая со стрелкой 21"/>
        <xdr:cNvCxnSpPr/>
      </xdr:nvCxnSpPr>
      <xdr:spPr>
        <a:xfrm flipH="1">
          <a:off x="3878280" y="8143920"/>
          <a:ext cx="1852920" cy="1080"/>
        </a:xfrm>
        <a:prstGeom prst="straightConnector1">
          <a:avLst/>
        </a:prstGeom>
        <a:ln w="9360">
          <a:solidFill>
            <a:srgbClr val="000000"/>
          </a:solidFill>
          <a:miter/>
          <a:tailEnd len="med" type="arrow" w="med"/>
        </a:ln>
      </xdr:spPr>
    </xdr:cxnSp>
    <xdr:clientData/>
  </xdr:twoCellAnchor>
  <xdr:twoCellAnchor editAs="oneCell">
    <xdr:from>
      <xdr:col>2</xdr:col>
      <xdr:colOff>1308600</xdr:colOff>
      <xdr:row>41</xdr:row>
      <xdr:rowOff>113400</xdr:rowOff>
    </xdr:from>
    <xdr:to>
      <xdr:col>3</xdr:col>
      <xdr:colOff>655200</xdr:colOff>
      <xdr:row>41</xdr:row>
      <xdr:rowOff>114480</xdr:rowOff>
    </xdr:to>
    <xdr:cxnSp>
      <xdr:nvCxnSpPr>
        <xdr:cNvPr id="22" name="Прямая со стрелкой 22"/>
        <xdr:cNvCxnSpPr/>
      </xdr:nvCxnSpPr>
      <xdr:spPr>
        <a:xfrm flipH="1">
          <a:off x="3878280" y="8952480"/>
          <a:ext cx="1852920" cy="1440"/>
        </a:xfrm>
        <a:prstGeom prst="straightConnector1">
          <a:avLst/>
        </a:prstGeom>
        <a:ln w="9360">
          <a:solidFill>
            <a:srgbClr val="000000"/>
          </a:solidFill>
          <a:miter/>
          <a:tailEnd len="med" type="arrow" w="med"/>
        </a:ln>
      </xdr:spPr>
    </xdr:cxnSp>
    <xdr:clientData/>
  </xdr:twoCellAnchor>
  <xdr:twoCellAnchor editAs="oneCell">
    <xdr:from>
      <xdr:col>2</xdr:col>
      <xdr:colOff>1308600</xdr:colOff>
      <xdr:row>42</xdr:row>
      <xdr:rowOff>104040</xdr:rowOff>
    </xdr:from>
    <xdr:to>
      <xdr:col>3</xdr:col>
      <xdr:colOff>655200</xdr:colOff>
      <xdr:row>42</xdr:row>
      <xdr:rowOff>105120</xdr:rowOff>
    </xdr:to>
    <xdr:cxnSp>
      <xdr:nvCxnSpPr>
        <xdr:cNvPr id="23" name="Прямая со стрелкой 23"/>
        <xdr:cNvCxnSpPr/>
      </xdr:nvCxnSpPr>
      <xdr:spPr>
        <a:xfrm flipH="1">
          <a:off x="3878280" y="9143280"/>
          <a:ext cx="1852920" cy="1440"/>
        </a:xfrm>
        <a:prstGeom prst="straightConnector1">
          <a:avLst/>
        </a:prstGeom>
        <a:ln w="9360">
          <a:solidFill>
            <a:srgbClr val="000000"/>
          </a:solidFill>
          <a:miter/>
          <a:tailEnd len="med" type="arrow" w="med"/>
        </a:ln>
      </xdr:spPr>
    </xdr:cxnSp>
    <xdr:clientData/>
  </xdr:twoCellAnchor>
  <xdr:twoCellAnchor editAs="oneCell">
    <xdr:from>
      <xdr:col>2</xdr:col>
      <xdr:colOff>1308600</xdr:colOff>
      <xdr:row>43</xdr:row>
      <xdr:rowOff>103680</xdr:rowOff>
    </xdr:from>
    <xdr:to>
      <xdr:col>3</xdr:col>
      <xdr:colOff>655200</xdr:colOff>
      <xdr:row>43</xdr:row>
      <xdr:rowOff>104760</xdr:rowOff>
    </xdr:to>
    <xdr:cxnSp>
      <xdr:nvCxnSpPr>
        <xdr:cNvPr id="24" name="Прямая со стрелкой 24"/>
        <xdr:cNvCxnSpPr/>
      </xdr:nvCxnSpPr>
      <xdr:spPr>
        <a:xfrm flipH="1">
          <a:off x="3878280" y="9343080"/>
          <a:ext cx="1852920" cy="1440"/>
        </a:xfrm>
        <a:prstGeom prst="straightConnector1">
          <a:avLst/>
        </a:prstGeom>
        <a:ln w="9360">
          <a:solidFill>
            <a:srgbClr val="000000"/>
          </a:solidFill>
          <a:miter/>
          <a:tailEnd len="med" type="arrow" w="med"/>
        </a:ln>
      </xdr:spPr>
    </xdr:cxnSp>
    <xdr:clientData/>
  </xdr:twoCellAnchor>
  <xdr:twoCellAnchor editAs="oneCell">
    <xdr:from>
      <xdr:col>2</xdr:col>
      <xdr:colOff>1299240</xdr:colOff>
      <xdr:row>46</xdr:row>
      <xdr:rowOff>94320</xdr:rowOff>
    </xdr:from>
    <xdr:to>
      <xdr:col>3</xdr:col>
      <xdr:colOff>637560</xdr:colOff>
      <xdr:row>46</xdr:row>
      <xdr:rowOff>95400</xdr:rowOff>
    </xdr:to>
    <xdr:cxnSp>
      <xdr:nvCxnSpPr>
        <xdr:cNvPr id="25" name="Прямая со стрелкой 25"/>
        <xdr:cNvCxnSpPr/>
      </xdr:nvCxnSpPr>
      <xdr:spPr>
        <a:xfrm flipH="1">
          <a:off x="3868920" y="9914760"/>
          <a:ext cx="1844640" cy="1440"/>
        </a:xfrm>
        <a:prstGeom prst="straightConnector1">
          <a:avLst/>
        </a:prstGeom>
        <a:ln w="9360">
          <a:solidFill>
            <a:srgbClr val="000000"/>
          </a:solidFill>
          <a:miter/>
          <a:tailEnd len="med" type="arrow" w="med"/>
        </a:ln>
      </xdr:spPr>
    </xdr:cxnSp>
    <xdr:clientData/>
  </xdr:twoCellAnchor>
  <xdr:twoCellAnchor editAs="oneCell">
    <xdr:from>
      <xdr:col>5</xdr:col>
      <xdr:colOff>993240</xdr:colOff>
      <xdr:row>42</xdr:row>
      <xdr:rowOff>104040</xdr:rowOff>
    </xdr:from>
    <xdr:to>
      <xdr:col>7</xdr:col>
      <xdr:colOff>15480</xdr:colOff>
      <xdr:row>42</xdr:row>
      <xdr:rowOff>105120</xdr:rowOff>
    </xdr:to>
    <xdr:cxnSp>
      <xdr:nvCxnSpPr>
        <xdr:cNvPr id="26" name="Прямая со стрелкой 26"/>
        <xdr:cNvCxnSpPr/>
      </xdr:nvCxnSpPr>
      <xdr:spPr>
        <a:xfrm flipH="1">
          <a:off x="9369000" y="9143280"/>
          <a:ext cx="1094040" cy="1440"/>
        </a:xfrm>
        <a:prstGeom prst="straightConnector1">
          <a:avLst/>
        </a:prstGeom>
        <a:ln w="9360">
          <a:solidFill>
            <a:srgbClr val="000000"/>
          </a:solidFill>
          <a:miter/>
          <a:tailEnd len="med" type="arrow" w="med"/>
        </a:ln>
      </xdr:spPr>
    </xdr:cxnSp>
    <xdr:clientData/>
  </xdr:twoCellAnchor>
  <xdr:twoCellAnchor editAs="oneCell">
    <xdr:from>
      <xdr:col>3</xdr:col>
      <xdr:colOff>1216800</xdr:colOff>
      <xdr:row>90</xdr:row>
      <xdr:rowOff>153000</xdr:rowOff>
    </xdr:from>
    <xdr:to>
      <xdr:col>7</xdr:col>
      <xdr:colOff>3036600</xdr:colOff>
      <xdr:row>90</xdr:row>
      <xdr:rowOff>153000</xdr:rowOff>
    </xdr:to>
    <xdr:sp>
      <xdr:nvSpPr>
        <xdr:cNvPr id="27" name="Прямая соединительная линия 27"/>
        <xdr:cNvSpPr/>
      </xdr:nvSpPr>
      <xdr:spPr>
        <a:xfrm>
          <a:off x="6292440" y="18612360"/>
          <a:ext cx="719136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68760</xdr:colOff>
      <xdr:row>90</xdr:row>
      <xdr:rowOff>162000</xdr:rowOff>
    </xdr:from>
    <xdr:to>
      <xdr:col>4</xdr:col>
      <xdr:colOff>71640</xdr:colOff>
      <xdr:row>90</xdr:row>
      <xdr:rowOff>342720</xdr:rowOff>
    </xdr:to>
    <xdr:cxnSp>
      <xdr:nvCxnSpPr>
        <xdr:cNvPr id="28" name="Прямая со стрелкой 28"/>
        <xdr:cNvCxnSpPr/>
      </xdr:nvCxnSpPr>
      <xdr:spPr>
        <a:xfrm flipH="1">
          <a:off x="7197120" y="18621360"/>
          <a:ext cx="3240" cy="181080"/>
        </a:xfrm>
        <a:prstGeom prst="straightConnector1">
          <a:avLst/>
        </a:prstGeom>
        <a:ln w="9360">
          <a:solidFill>
            <a:srgbClr val="000000"/>
          </a:solidFill>
          <a:miter/>
          <a:tailEnd len="med" type="arrow" w="med"/>
        </a:ln>
      </xdr:spPr>
    </xdr:cxnSp>
    <xdr:clientData/>
  </xdr:twoCellAnchor>
  <xdr:twoCellAnchor editAs="oneCell">
    <xdr:from>
      <xdr:col>4</xdr:col>
      <xdr:colOff>1055520</xdr:colOff>
      <xdr:row>90</xdr:row>
      <xdr:rowOff>152640</xdr:rowOff>
    </xdr:from>
    <xdr:to>
      <xdr:col>4</xdr:col>
      <xdr:colOff>1056960</xdr:colOff>
      <xdr:row>90</xdr:row>
      <xdr:rowOff>333360</xdr:rowOff>
    </xdr:to>
    <xdr:cxnSp>
      <xdr:nvCxnSpPr>
        <xdr:cNvPr id="29" name="Прямая со стрелкой 29"/>
        <xdr:cNvCxnSpPr/>
      </xdr:nvCxnSpPr>
      <xdr:spPr>
        <a:xfrm flipH="1">
          <a:off x="8183880" y="18612000"/>
          <a:ext cx="1800" cy="181080"/>
        </a:xfrm>
        <a:prstGeom prst="straightConnector1">
          <a:avLst/>
        </a:prstGeom>
        <a:ln w="9360">
          <a:solidFill>
            <a:srgbClr val="000000"/>
          </a:solidFill>
          <a:miter/>
          <a:tailEnd len="med" type="arrow" w="med"/>
        </a:ln>
      </xdr:spPr>
    </xdr:cxnSp>
    <xdr:clientData/>
  </xdr:twoCellAnchor>
  <xdr:twoCellAnchor editAs="oneCell">
    <xdr:from>
      <xdr:col>5</xdr:col>
      <xdr:colOff>733320</xdr:colOff>
      <xdr:row>90</xdr:row>
      <xdr:rowOff>152640</xdr:rowOff>
    </xdr:from>
    <xdr:to>
      <xdr:col>5</xdr:col>
      <xdr:colOff>734760</xdr:colOff>
      <xdr:row>90</xdr:row>
      <xdr:rowOff>342720</xdr:rowOff>
    </xdr:to>
    <xdr:cxnSp>
      <xdr:nvCxnSpPr>
        <xdr:cNvPr id="30" name="Прямая со стрелкой 30"/>
        <xdr:cNvCxnSpPr/>
      </xdr:nvCxnSpPr>
      <xdr:spPr>
        <a:xfrm flipH="1">
          <a:off x="9109080" y="18612000"/>
          <a:ext cx="1800" cy="190440"/>
        </a:xfrm>
        <a:prstGeom prst="straightConnector1">
          <a:avLst/>
        </a:prstGeom>
        <a:ln w="9360">
          <a:solidFill>
            <a:srgbClr val="000000"/>
          </a:solidFill>
          <a:miter/>
          <a:tailEnd len="med" type="arrow" w="med"/>
        </a:ln>
      </xdr:spPr>
    </xdr:cxnSp>
    <xdr:clientData/>
  </xdr:twoCellAnchor>
  <xdr:twoCellAnchor editAs="oneCell">
    <xdr:from>
      <xdr:col>7</xdr:col>
      <xdr:colOff>3010680</xdr:colOff>
      <xdr:row>90</xdr:row>
      <xdr:rowOff>153000</xdr:rowOff>
    </xdr:from>
    <xdr:to>
      <xdr:col>7</xdr:col>
      <xdr:colOff>3017160</xdr:colOff>
      <xdr:row>90</xdr:row>
      <xdr:rowOff>342720</xdr:rowOff>
    </xdr:to>
    <xdr:sp>
      <xdr:nvSpPr>
        <xdr:cNvPr id="31" name="Прямая соединительная линия 31"/>
        <xdr:cNvSpPr/>
      </xdr:nvSpPr>
      <xdr:spPr>
        <a:xfrm>
          <a:off x="13457880" y="18612360"/>
          <a:ext cx="6480" cy="18972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874800</xdr:colOff>
      <xdr:row>111</xdr:row>
      <xdr:rowOff>85320</xdr:rowOff>
    </xdr:from>
    <xdr:to>
      <xdr:col>8</xdr:col>
      <xdr:colOff>10800</xdr:colOff>
      <xdr:row>114</xdr:row>
      <xdr:rowOff>46800</xdr:rowOff>
    </xdr:to>
    <xdr:pic>
      <xdr:nvPicPr>
        <xdr:cNvPr id="32" name="Рисунок 19"/>
        <xdr:cNvPicPr/>
      </xdr:nvPicPr>
      <xdr:blipFill>
        <a:blip r:embed="rId1"/>
        <a:stretch/>
      </xdr:blipFill>
      <xdr:spPr>
        <a:xfrm>
          <a:off x="10286280" y="23164560"/>
          <a:ext cx="3483000" cy="532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843840</xdr:colOff>
      <xdr:row>5</xdr:row>
      <xdr:rowOff>112680</xdr:rowOff>
    </xdr:from>
    <xdr:to>
      <xdr:col>7</xdr:col>
      <xdr:colOff>691560</xdr:colOff>
      <xdr:row>5</xdr:row>
      <xdr:rowOff>114120</xdr:rowOff>
    </xdr:to>
    <xdr:cxnSp>
      <xdr:nvCxnSpPr>
        <xdr:cNvPr id="33" name="Прямая со стрелкой 33"/>
        <xdr:cNvCxnSpPr/>
      </xdr:nvCxnSpPr>
      <xdr:spPr>
        <a:xfrm flipH="1">
          <a:off x="10255320" y="1208160"/>
          <a:ext cx="883800" cy="1800"/>
        </a:xfrm>
        <a:prstGeom prst="straightConnector1">
          <a:avLst/>
        </a:prstGeom>
        <a:ln w="9360">
          <a:solidFill>
            <a:srgbClr val="000000"/>
          </a:solidFill>
          <a:miter/>
          <a:tailEnd len="med" type="arrow" w="med"/>
        </a:ln>
      </xdr:spPr>
    </xdr:cxnSp>
    <xdr:clientData/>
  </xdr:twoCellAnchor>
  <xdr:twoCellAnchor editAs="oneCell">
    <xdr:from>
      <xdr:col>7</xdr:col>
      <xdr:colOff>685440</xdr:colOff>
      <xdr:row>6</xdr:row>
      <xdr:rowOff>123480</xdr:rowOff>
    </xdr:from>
    <xdr:to>
      <xdr:col>9</xdr:col>
      <xdr:colOff>1676880</xdr:colOff>
      <xdr:row>8</xdr:row>
      <xdr:rowOff>142200</xdr:rowOff>
    </xdr:to>
    <xdr:sp>
      <xdr:nvSpPr>
        <xdr:cNvPr id="34" name="Прямоугольник 34"/>
        <xdr:cNvSpPr/>
      </xdr:nvSpPr>
      <xdr:spPr>
        <a:xfrm>
          <a:off x="11132640" y="1418760"/>
          <a:ext cx="4941000" cy="419040"/>
        </a:xfrm>
        <a:prstGeom prst="rect">
          <a:avLst/>
        </a:prstGeom>
        <a:gradFill rotWithShape="0">
          <a:gsLst>
            <a:gs pos="0">
              <a:srgbClr val="BCBCBC"/>
            </a:gs>
            <a:gs pos="100000">
              <a:srgbClr val="EDEDED"/>
            </a:gs>
          </a:gsLst>
          <a:lin ang="16200000"/>
        </a:gradFill>
        <a:ln w="9360">
          <a:solidFill>
            <a:srgbClr val="000000"/>
          </a:solidFill>
          <a:miter/>
        </a:ln>
        <a:effectLst>
          <a:outerShdw dist="20160" dir="5400000" rotWithShape="0">
            <a:srgbClr val="000000">
              <a:alpha val="38000"/>
            </a:srgbClr>
          </a:outerShdw>
        </a:effectLst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noAutofit/>
        </a:bodyPr>
        <a:p>
          <a:r>
            <a:rPr lang="ru-RU" sz="1200" b="0" u="none" strike="noStrike">
              <a:solidFill>
                <a:srgbClr val="000000"/>
              </a:solidFill>
              <a:effectLst/>
              <a:uFillTx/>
              <a:latin typeface="Calibri"/>
            </a:rPr>
            <a:t>Номер реестра не имеет значения, внесите его в удобной для Вас форме.</a:t>
          </a:r>
          <a:endParaRPr lang="ru-RU" sz="1200" b="0" u="none" strike="noStrike">
            <a:effectLst/>
            <a:uFillTx/>
            <a:latin typeface="Times New Roman"/>
          </a:endParaRPr>
        </a:p>
        <a:p>
          <a:endParaRPr lang="ru-RU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</xdr:col>
      <xdr:colOff>1569240</xdr:colOff>
      <xdr:row>7</xdr:row>
      <xdr:rowOff>103320</xdr:rowOff>
    </xdr:from>
    <xdr:to>
      <xdr:col>7</xdr:col>
      <xdr:colOff>701640</xdr:colOff>
      <xdr:row>7</xdr:row>
      <xdr:rowOff>104040</xdr:rowOff>
    </xdr:to>
    <xdr:cxnSp>
      <xdr:nvCxnSpPr>
        <xdr:cNvPr id="35" name="Прямая со стрелкой 35"/>
        <xdr:cNvCxnSpPr/>
      </xdr:nvCxnSpPr>
      <xdr:spPr>
        <a:xfrm flipH="1" flipV="1">
          <a:off x="6644880" y="1598760"/>
          <a:ext cx="4504320" cy="1080"/>
        </a:xfrm>
        <a:prstGeom prst="straightConnector1">
          <a:avLst/>
        </a:prstGeom>
        <a:ln w="9360">
          <a:solidFill>
            <a:srgbClr val="000000"/>
          </a:solidFill>
          <a:miter/>
          <a:tailEnd len="med" type="arrow" w="med"/>
        </a:ln>
      </xdr:spPr>
    </xdr:cxnSp>
    <xdr:clientData/>
  </xdr:twoCellAnchor>
  <xdr:twoCellAnchor editAs="oneCell">
    <xdr:from>
      <xdr:col>7</xdr:col>
      <xdr:colOff>695160</xdr:colOff>
      <xdr:row>9</xdr:row>
      <xdr:rowOff>9360</xdr:rowOff>
    </xdr:from>
    <xdr:to>
      <xdr:col>9</xdr:col>
      <xdr:colOff>1686600</xdr:colOff>
      <xdr:row>9</xdr:row>
      <xdr:rowOff>199440</xdr:rowOff>
    </xdr:to>
    <xdr:sp>
      <xdr:nvSpPr>
        <xdr:cNvPr id="36" name="Прямоугольник 36"/>
        <xdr:cNvSpPr/>
      </xdr:nvSpPr>
      <xdr:spPr>
        <a:xfrm>
          <a:off x="11142360" y="1904760"/>
          <a:ext cx="4941000" cy="190080"/>
        </a:xfrm>
        <a:prstGeom prst="rect">
          <a:avLst/>
        </a:prstGeom>
        <a:gradFill rotWithShape="0">
          <a:gsLst>
            <a:gs pos="0">
              <a:srgbClr val="BCBCBC"/>
            </a:gs>
            <a:gs pos="100000">
              <a:srgbClr val="EDEDED"/>
            </a:gs>
          </a:gsLst>
          <a:lin ang="16200000"/>
        </a:gradFill>
        <a:ln w="9360">
          <a:solidFill>
            <a:srgbClr val="000000"/>
          </a:solidFill>
          <a:miter/>
        </a:ln>
        <a:effectLst>
          <a:outerShdw dist="20160" dir="5400000" rotWithShape="0">
            <a:srgbClr val="000000">
              <a:alpha val="38000"/>
            </a:srgbClr>
          </a:outerShdw>
        </a:effectLst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noAutofit/>
        </a:bodyPr>
        <a:p>
          <a:r>
            <a:rPr lang="ru-RU" sz="1200" b="0" u="none" strike="noStrike">
              <a:solidFill>
                <a:srgbClr val="000000"/>
              </a:solidFill>
              <a:effectLst/>
              <a:uFillTx/>
              <a:latin typeface="Calibri"/>
            </a:rPr>
            <a:t>Внесите название организации</a:t>
          </a:r>
          <a:r>
            <a:rPr lang="ru-RU" sz="1100" b="0" u="none" strike="noStrike">
              <a:solidFill>
                <a:srgbClr val="000000"/>
              </a:solidFill>
              <a:effectLst/>
              <a:uFillTx/>
              <a:latin typeface="Calibri"/>
            </a:rPr>
            <a:t>.</a:t>
          </a:r>
          <a:endParaRPr lang="ru-RU" sz="1100" b="0" u="none" strike="noStrike">
            <a:effectLst/>
            <a:uFillTx/>
            <a:latin typeface="Times New Roman"/>
          </a:endParaRPr>
        </a:p>
        <a:p>
          <a:endParaRPr lang="ru-RU" sz="11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</xdr:col>
      <xdr:colOff>1206360</xdr:colOff>
      <xdr:row>9</xdr:row>
      <xdr:rowOff>114120</xdr:rowOff>
    </xdr:from>
    <xdr:to>
      <xdr:col>7</xdr:col>
      <xdr:colOff>701640</xdr:colOff>
      <xdr:row>9</xdr:row>
      <xdr:rowOff>123840</xdr:rowOff>
    </xdr:to>
    <xdr:cxnSp>
      <xdr:nvCxnSpPr>
        <xdr:cNvPr id="37" name="Прямая со стрелкой 37"/>
        <xdr:cNvCxnSpPr/>
      </xdr:nvCxnSpPr>
      <xdr:spPr>
        <a:xfrm flipH="1">
          <a:off x="6282000" y="2009520"/>
          <a:ext cx="4867200" cy="10080"/>
        </a:xfrm>
        <a:prstGeom prst="straightConnector1">
          <a:avLst/>
        </a:prstGeom>
        <a:ln w="9360">
          <a:solidFill>
            <a:srgbClr val="000000"/>
          </a:solidFill>
          <a:miter/>
          <a:tailEnd len="med" type="arrow" w="med"/>
        </a:ln>
      </xdr:spPr>
    </xdr:cxnSp>
    <xdr:clientData/>
  </xdr:twoCellAnchor>
  <xdr:twoCellAnchor editAs="oneCell">
    <xdr:from>
      <xdr:col>7</xdr:col>
      <xdr:colOff>685440</xdr:colOff>
      <xdr:row>13</xdr:row>
      <xdr:rowOff>0</xdr:rowOff>
    </xdr:from>
    <xdr:to>
      <xdr:col>9</xdr:col>
      <xdr:colOff>1657800</xdr:colOff>
      <xdr:row>13</xdr:row>
      <xdr:rowOff>199080</xdr:rowOff>
    </xdr:to>
    <xdr:sp>
      <xdr:nvSpPr>
        <xdr:cNvPr id="38" name="Прямоугольник 38"/>
        <xdr:cNvSpPr/>
      </xdr:nvSpPr>
      <xdr:spPr>
        <a:xfrm>
          <a:off x="11132640" y="2695680"/>
          <a:ext cx="4921920" cy="199080"/>
        </a:xfrm>
        <a:prstGeom prst="rect">
          <a:avLst/>
        </a:prstGeom>
        <a:gradFill rotWithShape="0">
          <a:gsLst>
            <a:gs pos="0">
              <a:srgbClr val="BCBCBC"/>
            </a:gs>
            <a:gs pos="100000">
              <a:srgbClr val="EDEDED"/>
            </a:gs>
          </a:gsLst>
          <a:lin ang="16200000"/>
        </a:gradFill>
        <a:ln w="9360">
          <a:solidFill>
            <a:srgbClr val="000000"/>
          </a:solidFill>
          <a:miter/>
        </a:ln>
        <a:effectLst>
          <a:outerShdw dist="20160" dir="5400000" rotWithShape="0">
            <a:srgbClr val="000000">
              <a:alpha val="38000"/>
            </a:srgbClr>
          </a:outerShdw>
        </a:effectLst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noAutofit/>
        </a:bodyPr>
        <a:p>
          <a:r>
            <a:rPr lang="ru-RU" sz="1200" b="0" u="none" strike="noStrike">
              <a:solidFill>
                <a:srgbClr val="000000"/>
              </a:solidFill>
              <a:effectLst/>
              <a:uFillTx/>
              <a:latin typeface="Calibri"/>
            </a:rPr>
            <a:t>Внесите № п\п к данному реестру и дату.</a:t>
          </a:r>
          <a:endParaRPr lang="ru-RU" sz="1200" b="0" u="none" strike="noStrike">
            <a:effectLst/>
            <a:uFillTx/>
            <a:latin typeface="Times New Roman"/>
          </a:endParaRPr>
        </a:p>
        <a:p>
          <a:endParaRPr lang="ru-RU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</xdr:col>
      <xdr:colOff>1286280</xdr:colOff>
      <xdr:row>13</xdr:row>
      <xdr:rowOff>112680</xdr:rowOff>
    </xdr:from>
    <xdr:to>
      <xdr:col>7</xdr:col>
      <xdr:colOff>668880</xdr:colOff>
      <xdr:row>13</xdr:row>
      <xdr:rowOff>114120</xdr:rowOff>
    </xdr:to>
    <xdr:cxnSp>
      <xdr:nvCxnSpPr>
        <xdr:cNvPr id="39" name="Прямая со стрелкой 39"/>
        <xdr:cNvCxnSpPr/>
      </xdr:nvCxnSpPr>
      <xdr:spPr>
        <a:xfrm flipH="1">
          <a:off x="6361920" y="2808360"/>
          <a:ext cx="4754520" cy="1800"/>
        </a:xfrm>
        <a:prstGeom prst="straightConnector1">
          <a:avLst/>
        </a:prstGeom>
        <a:ln w="9360">
          <a:solidFill>
            <a:srgbClr val="000000"/>
          </a:solidFill>
          <a:miter/>
          <a:tailEnd len="med" type="arrow" w="med"/>
        </a:ln>
      </xdr:spPr>
    </xdr:cxnSp>
    <xdr:clientData/>
  </xdr:twoCellAnchor>
  <xdr:twoCellAnchor editAs="oneCell">
    <xdr:from>
      <xdr:col>7</xdr:col>
      <xdr:colOff>685440</xdr:colOff>
      <xdr:row>16</xdr:row>
      <xdr:rowOff>0</xdr:rowOff>
    </xdr:from>
    <xdr:to>
      <xdr:col>9</xdr:col>
      <xdr:colOff>1686600</xdr:colOff>
      <xdr:row>18</xdr:row>
      <xdr:rowOff>228960</xdr:rowOff>
    </xdr:to>
    <xdr:sp>
      <xdr:nvSpPr>
        <xdr:cNvPr id="40" name="Прямоугольник 40"/>
        <xdr:cNvSpPr/>
      </xdr:nvSpPr>
      <xdr:spPr>
        <a:xfrm>
          <a:off x="11132640" y="3371760"/>
          <a:ext cx="4950720" cy="867240"/>
        </a:xfrm>
        <a:prstGeom prst="rect">
          <a:avLst/>
        </a:prstGeom>
        <a:gradFill rotWithShape="0">
          <a:gsLst>
            <a:gs pos="0">
              <a:srgbClr val="BCBCBC"/>
            </a:gs>
            <a:gs pos="100000">
              <a:srgbClr val="EDEDED"/>
            </a:gs>
          </a:gsLst>
          <a:lin ang="16200000"/>
        </a:gradFill>
        <a:ln w="9360">
          <a:solidFill>
            <a:srgbClr val="000000"/>
          </a:solidFill>
          <a:miter/>
        </a:ln>
        <a:effectLst>
          <a:outerShdw dist="20160" dir="5400000" rotWithShape="0">
            <a:srgbClr val="000000">
              <a:alpha val="38000"/>
            </a:srgbClr>
          </a:outerShdw>
        </a:effectLst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noAutofit/>
        </a:bodyPr>
        <a:p>
          <a:r>
            <a:rPr lang="ru-RU" sz="1200" b="0" u="none" strike="noStrike">
              <a:solidFill>
                <a:srgbClr val="000000"/>
              </a:solidFill>
              <a:effectLst/>
              <a:uFillTx/>
              <a:latin typeface="Calibri"/>
            </a:rPr>
            <a:t>ФИО сотрудников, которым будем делать перечисления, указываем полностью не сокращая. </a:t>
          </a:r>
          <a:endParaRPr lang="ru-RU" sz="1200" b="0" u="none" strike="noStrike">
            <a:effectLst/>
            <a:uFillTx/>
            <a:latin typeface="Times New Roman"/>
          </a:endParaRPr>
        </a:p>
        <a:p>
          <a:r>
            <a:rPr lang="ru-RU" sz="1200" b="0" u="none" strike="noStrike">
              <a:solidFill>
                <a:srgbClr val="000000"/>
              </a:solidFill>
              <a:effectLst/>
              <a:uFillTx/>
              <a:latin typeface="Calibri"/>
            </a:rPr>
            <a:t>(Пустых строчек и строчек с нулями в столбце "Сумма" быть не должно)</a:t>
          </a:r>
          <a:endParaRPr lang="ru-RU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80280</xdr:colOff>
      <xdr:row>17</xdr:row>
      <xdr:rowOff>104400</xdr:rowOff>
    </xdr:from>
    <xdr:to>
      <xdr:col>7</xdr:col>
      <xdr:colOff>691920</xdr:colOff>
      <xdr:row>17</xdr:row>
      <xdr:rowOff>105120</xdr:rowOff>
    </xdr:to>
    <xdr:cxnSp>
      <xdr:nvCxnSpPr>
        <xdr:cNvPr id="41" name="Прямая со стрелкой 41"/>
        <xdr:cNvCxnSpPr/>
      </xdr:nvCxnSpPr>
      <xdr:spPr>
        <a:xfrm flipH="1">
          <a:off x="8456040" y="3876480"/>
          <a:ext cx="2683440" cy="1080"/>
        </a:xfrm>
        <a:prstGeom prst="straightConnector1">
          <a:avLst/>
        </a:prstGeom>
        <a:ln w="9360">
          <a:solidFill>
            <a:srgbClr val="000000"/>
          </a:solidFill>
          <a:miter/>
          <a:tailEnd len="med" type="arrow" w="med"/>
        </a:ln>
      </xdr:spPr>
    </xdr:cxnSp>
    <xdr:clientData/>
  </xdr:twoCellAnchor>
  <xdr:twoCellAnchor editAs="oneCell">
    <xdr:from>
      <xdr:col>7</xdr:col>
      <xdr:colOff>685440</xdr:colOff>
      <xdr:row>20</xdr:row>
      <xdr:rowOff>0</xdr:rowOff>
    </xdr:from>
    <xdr:to>
      <xdr:col>9</xdr:col>
      <xdr:colOff>1676880</xdr:colOff>
      <xdr:row>22</xdr:row>
      <xdr:rowOff>199440</xdr:rowOff>
    </xdr:to>
    <xdr:sp>
      <xdr:nvSpPr>
        <xdr:cNvPr id="42" name="Прямоугольник 42"/>
        <xdr:cNvSpPr/>
      </xdr:nvSpPr>
      <xdr:spPr>
        <a:xfrm>
          <a:off x="11132640" y="4486320"/>
          <a:ext cx="4941000" cy="599400"/>
        </a:xfrm>
        <a:prstGeom prst="rect">
          <a:avLst/>
        </a:prstGeom>
        <a:gradFill rotWithShape="0">
          <a:gsLst>
            <a:gs pos="0">
              <a:srgbClr val="BCBCBC"/>
            </a:gs>
            <a:gs pos="100000">
              <a:srgbClr val="EDEDED"/>
            </a:gs>
          </a:gsLst>
          <a:lin ang="16200000"/>
        </a:gradFill>
        <a:ln w="9360">
          <a:solidFill>
            <a:srgbClr val="000000"/>
          </a:solidFill>
          <a:miter/>
        </a:ln>
        <a:effectLst>
          <a:outerShdw dist="20160" dir="5400000" rotWithShape="0">
            <a:srgbClr val="000000">
              <a:alpha val="38000"/>
            </a:srgbClr>
          </a:outerShdw>
        </a:effectLst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noAutofit/>
        </a:bodyPr>
        <a:p>
          <a:r>
            <a:rPr lang="ru-RU" sz="1200" b="0" u="none" strike="noStrike">
              <a:solidFill>
                <a:srgbClr val="000000"/>
              </a:solidFill>
              <a:effectLst/>
              <a:uFillTx/>
              <a:latin typeface="Calibri"/>
            </a:rPr>
            <a:t>Подытожьте кол-во работников и общую сумму реестра</a:t>
          </a:r>
          <a:r>
            <a:rPr lang="ru-RU" sz="1100" b="0" u="none" strike="noStrike">
              <a:solidFill>
                <a:srgbClr val="000000"/>
              </a:solidFill>
              <a:effectLst/>
              <a:uFillTx/>
              <a:latin typeface="Calibri"/>
            </a:rPr>
            <a:t>.</a:t>
          </a:r>
          <a:endParaRPr lang="ru-RU" sz="11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</xdr:col>
      <xdr:colOff>1095840</xdr:colOff>
      <xdr:row>21</xdr:row>
      <xdr:rowOff>95040</xdr:rowOff>
    </xdr:from>
    <xdr:to>
      <xdr:col>7</xdr:col>
      <xdr:colOff>681840</xdr:colOff>
      <xdr:row>21</xdr:row>
      <xdr:rowOff>114120</xdr:rowOff>
    </xdr:to>
    <xdr:cxnSp>
      <xdr:nvCxnSpPr>
        <xdr:cNvPr id="43" name="Прямая со стрелкой 43"/>
        <xdr:cNvCxnSpPr/>
      </xdr:nvCxnSpPr>
      <xdr:spPr>
        <a:xfrm flipH="1">
          <a:off x="3665520" y="4781520"/>
          <a:ext cx="7463880" cy="19440"/>
        </a:xfrm>
        <a:prstGeom prst="straightConnector1">
          <a:avLst/>
        </a:prstGeom>
        <a:ln w="9360">
          <a:solidFill>
            <a:srgbClr val="000000"/>
          </a:solidFill>
          <a:miter/>
          <a:tailEnd len="med" type="arrow" w="med"/>
        </a:ln>
      </xdr:spPr>
    </xdr:cxnSp>
    <xdr:clientData/>
  </xdr:twoCellAnchor>
  <xdr:twoCellAnchor editAs="oneCell">
    <xdr:from>
      <xdr:col>7</xdr:col>
      <xdr:colOff>653040</xdr:colOff>
      <xdr:row>31</xdr:row>
      <xdr:rowOff>0</xdr:rowOff>
    </xdr:from>
    <xdr:to>
      <xdr:col>9</xdr:col>
      <xdr:colOff>1648080</xdr:colOff>
      <xdr:row>33</xdr:row>
      <xdr:rowOff>75240</xdr:rowOff>
    </xdr:to>
    <xdr:sp>
      <xdr:nvSpPr>
        <xdr:cNvPr id="44" name="Прямоугольник 44"/>
        <xdr:cNvSpPr/>
      </xdr:nvSpPr>
      <xdr:spPr>
        <a:xfrm>
          <a:off x="11100240" y="6724800"/>
          <a:ext cx="4944600" cy="503640"/>
        </a:xfrm>
        <a:prstGeom prst="rect">
          <a:avLst/>
        </a:prstGeom>
        <a:gradFill rotWithShape="0">
          <a:gsLst>
            <a:gs pos="0">
              <a:srgbClr val="BCBCBC"/>
            </a:gs>
            <a:gs pos="100000">
              <a:srgbClr val="EDEDED"/>
            </a:gs>
          </a:gsLst>
          <a:lin ang="16200000"/>
        </a:gradFill>
        <a:ln w="9360">
          <a:solidFill>
            <a:srgbClr val="000000"/>
          </a:solidFill>
          <a:miter/>
        </a:ln>
        <a:effectLst>
          <a:outerShdw dist="20160" dir="5400000" rotWithShape="0">
            <a:srgbClr val="000000">
              <a:alpha val="38000"/>
            </a:srgbClr>
          </a:outerShdw>
        </a:effectLst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noAutofit/>
        </a:bodyPr>
        <a:p>
          <a:r>
            <a:rPr lang="ru-RU" sz="1200" b="0" u="none" strike="noStrike">
              <a:solidFill>
                <a:srgbClr val="000000"/>
              </a:solidFill>
              <a:effectLst/>
              <a:uFillTx/>
              <a:latin typeface="Calibri"/>
            </a:rPr>
            <a:t>Печать организации. (Только для предоставления оригиналов реестров).</a:t>
          </a:r>
          <a:endParaRPr lang="ru-RU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</xdr:col>
      <xdr:colOff>190440</xdr:colOff>
      <xdr:row>32</xdr:row>
      <xdr:rowOff>9720</xdr:rowOff>
    </xdr:from>
    <xdr:to>
      <xdr:col>7</xdr:col>
      <xdr:colOff>659520</xdr:colOff>
      <xdr:row>32</xdr:row>
      <xdr:rowOff>9720</xdr:rowOff>
    </xdr:to>
    <xdr:sp>
      <xdr:nvSpPr>
        <xdr:cNvPr id="45" name="Прямая соединительная линия 45"/>
        <xdr:cNvSpPr/>
      </xdr:nvSpPr>
      <xdr:spPr>
        <a:xfrm>
          <a:off x="828720" y="6972480"/>
          <a:ext cx="1027800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190440</xdr:colOff>
      <xdr:row>29</xdr:row>
      <xdr:rowOff>28080</xdr:rowOff>
    </xdr:from>
    <xdr:to>
      <xdr:col>1</xdr:col>
      <xdr:colOff>194040</xdr:colOff>
      <xdr:row>31</xdr:row>
      <xdr:rowOff>236520</xdr:rowOff>
    </xdr:to>
    <xdr:cxnSp>
      <xdr:nvCxnSpPr>
        <xdr:cNvPr id="46" name="Прямая со стрелкой 46"/>
        <xdr:cNvCxnSpPr/>
      </xdr:nvCxnSpPr>
      <xdr:spPr>
        <a:xfrm flipV="1">
          <a:off x="828720" y="6314760"/>
          <a:ext cx="3960" cy="646920"/>
        </a:xfrm>
        <a:prstGeom prst="straightConnector1">
          <a:avLst/>
        </a:prstGeom>
        <a:ln w="9360">
          <a:solidFill>
            <a:srgbClr val="000000"/>
          </a:solidFill>
          <a:miter/>
          <a:tailEnd len="med" type="arrow" w="med"/>
        </a:ln>
      </xdr:spPr>
    </xdr:cxnSp>
    <xdr:clientData/>
  </xdr:twoCellAnchor>
  <xdr:twoCellAnchor editAs="oneCell">
    <xdr:from>
      <xdr:col>7</xdr:col>
      <xdr:colOff>662760</xdr:colOff>
      <xdr:row>26</xdr:row>
      <xdr:rowOff>123480</xdr:rowOff>
    </xdr:from>
    <xdr:to>
      <xdr:col>9</xdr:col>
      <xdr:colOff>1648080</xdr:colOff>
      <xdr:row>27</xdr:row>
      <xdr:rowOff>113400</xdr:rowOff>
    </xdr:to>
    <xdr:sp>
      <xdr:nvSpPr>
        <xdr:cNvPr id="47" name="Прямоугольник 47"/>
        <xdr:cNvSpPr/>
      </xdr:nvSpPr>
      <xdr:spPr>
        <a:xfrm>
          <a:off x="11109960" y="5810040"/>
          <a:ext cx="4934880" cy="189720"/>
        </a:xfrm>
        <a:prstGeom prst="rect">
          <a:avLst/>
        </a:prstGeom>
        <a:gradFill rotWithShape="0">
          <a:gsLst>
            <a:gs pos="0">
              <a:srgbClr val="BCBCBC"/>
            </a:gs>
            <a:gs pos="100000">
              <a:srgbClr val="EDEDED"/>
            </a:gs>
          </a:gsLst>
          <a:lin ang="16200000"/>
        </a:gradFill>
        <a:ln w="9360">
          <a:solidFill>
            <a:srgbClr val="000000"/>
          </a:solidFill>
          <a:miter/>
        </a:ln>
        <a:effectLst>
          <a:outerShdw dist="20160" dir="5400000" rotWithShape="0">
            <a:srgbClr val="000000">
              <a:alpha val="38000"/>
            </a:srgbClr>
          </a:outerShdw>
        </a:effectLst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noAutofit/>
        </a:bodyPr>
        <a:p>
          <a:r>
            <a:rPr lang="ru-RU" sz="1200" b="0" u="none" strike="noStrike">
              <a:solidFill>
                <a:srgbClr val="000000"/>
              </a:solidFill>
              <a:effectLst/>
              <a:uFillTx/>
              <a:latin typeface="Calibri"/>
            </a:rPr>
            <a:t>Расшифровка Руководителя и Главного Бухгалтера (при наличии).</a:t>
          </a:r>
          <a:endParaRPr lang="ru-RU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7</xdr:col>
      <xdr:colOff>662760</xdr:colOff>
      <xdr:row>28</xdr:row>
      <xdr:rowOff>18720</xdr:rowOff>
    </xdr:from>
    <xdr:to>
      <xdr:col>9</xdr:col>
      <xdr:colOff>1648080</xdr:colOff>
      <xdr:row>30</xdr:row>
      <xdr:rowOff>86040</xdr:rowOff>
    </xdr:to>
    <xdr:sp>
      <xdr:nvSpPr>
        <xdr:cNvPr id="48" name="Прямоугольник 48"/>
        <xdr:cNvSpPr/>
      </xdr:nvSpPr>
      <xdr:spPr>
        <a:xfrm>
          <a:off x="11109960" y="6105240"/>
          <a:ext cx="4934880" cy="505440"/>
        </a:xfrm>
        <a:prstGeom prst="rect">
          <a:avLst/>
        </a:prstGeom>
        <a:gradFill rotWithShape="0">
          <a:gsLst>
            <a:gs pos="0">
              <a:srgbClr val="BCBCBC"/>
            </a:gs>
            <a:gs pos="100000">
              <a:srgbClr val="EDEDED"/>
            </a:gs>
          </a:gsLst>
          <a:lin ang="16200000"/>
        </a:gradFill>
        <a:ln w="9360">
          <a:solidFill>
            <a:srgbClr val="000000"/>
          </a:solidFill>
          <a:miter/>
        </a:ln>
        <a:effectLst>
          <a:outerShdw dist="20160" dir="5400000" rotWithShape="0">
            <a:srgbClr val="000000">
              <a:alpha val="38000"/>
            </a:srgbClr>
          </a:outerShdw>
        </a:effectLst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noAutofit/>
        </a:bodyPr>
        <a:p>
          <a:r>
            <a:rPr lang="ru-RU" sz="1200" b="0" u="none" strike="noStrike">
              <a:solidFill>
                <a:srgbClr val="000000"/>
              </a:solidFill>
              <a:effectLst/>
              <a:uFillTx/>
              <a:latin typeface="Calibri"/>
            </a:rPr>
            <a:t>Подпись Руководителя и Главного Бухгалтера (при наличии). (Только для предоставления оригиналов реестров).</a:t>
          </a:r>
          <a:endParaRPr lang="ru-RU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219600</xdr:colOff>
      <xdr:row>27</xdr:row>
      <xdr:rowOff>18720</xdr:rowOff>
    </xdr:from>
    <xdr:to>
      <xdr:col>7</xdr:col>
      <xdr:colOff>668880</xdr:colOff>
      <xdr:row>28</xdr:row>
      <xdr:rowOff>9720</xdr:rowOff>
    </xdr:to>
    <xdr:cxnSp>
      <xdr:nvCxnSpPr>
        <xdr:cNvPr id="49" name="Прямая со стрелкой 49"/>
        <xdr:cNvCxnSpPr/>
      </xdr:nvCxnSpPr>
      <xdr:spPr>
        <a:xfrm flipH="1">
          <a:off x="8595360" y="5905080"/>
          <a:ext cx="2521080" cy="191520"/>
        </a:xfrm>
        <a:prstGeom prst="straightConnector1">
          <a:avLst/>
        </a:prstGeom>
        <a:ln w="9360">
          <a:solidFill>
            <a:srgbClr val="000000"/>
          </a:solidFill>
          <a:miter/>
          <a:tailEnd len="med" type="arrow" w="med"/>
        </a:ln>
      </xdr:spPr>
    </xdr:cxnSp>
    <xdr:clientData/>
  </xdr:twoCellAnchor>
  <xdr:twoCellAnchor editAs="oneCell">
    <xdr:from>
      <xdr:col>5</xdr:col>
      <xdr:colOff>994320</xdr:colOff>
      <xdr:row>28</xdr:row>
      <xdr:rowOff>142920</xdr:rowOff>
    </xdr:from>
    <xdr:to>
      <xdr:col>7</xdr:col>
      <xdr:colOff>668880</xdr:colOff>
      <xdr:row>29</xdr:row>
      <xdr:rowOff>47520</xdr:rowOff>
    </xdr:to>
    <xdr:cxnSp>
      <xdr:nvCxnSpPr>
        <xdr:cNvPr id="50" name="Прямая со стрелкой 50"/>
        <xdr:cNvCxnSpPr/>
      </xdr:nvCxnSpPr>
      <xdr:spPr>
        <a:xfrm flipH="1">
          <a:off x="9370080" y="6229440"/>
          <a:ext cx="1746360" cy="105120"/>
        </a:xfrm>
        <a:prstGeom prst="straightConnector1">
          <a:avLst/>
        </a:prstGeom>
        <a:ln w="9360">
          <a:solidFill>
            <a:srgbClr val="000000"/>
          </a:solidFill>
          <a:miter/>
          <a:tailEnd len="med" type="arrow" w="med"/>
        </a:ln>
      </xdr:spPr>
    </xdr:cxnSp>
    <xdr:clientData/>
  </xdr:twoCellAnchor>
  <xdr:twoCellAnchor editAs="oneCell">
    <xdr:from>
      <xdr:col>5</xdr:col>
      <xdr:colOff>1004040</xdr:colOff>
      <xdr:row>29</xdr:row>
      <xdr:rowOff>56160</xdr:rowOff>
    </xdr:from>
    <xdr:to>
      <xdr:col>7</xdr:col>
      <xdr:colOff>659520</xdr:colOff>
      <xdr:row>31</xdr:row>
      <xdr:rowOff>9000</xdr:rowOff>
    </xdr:to>
    <xdr:cxnSp>
      <xdr:nvCxnSpPr>
        <xdr:cNvPr id="51" name="Прямая со стрелкой 51"/>
        <xdr:cNvCxnSpPr/>
      </xdr:nvCxnSpPr>
      <xdr:spPr>
        <a:xfrm flipH="1">
          <a:off x="9379800" y="6342840"/>
          <a:ext cx="1727280" cy="391320"/>
        </a:xfrm>
        <a:prstGeom prst="straightConnector1">
          <a:avLst/>
        </a:prstGeom>
        <a:ln w="9360">
          <a:solidFill>
            <a:srgbClr val="000000"/>
          </a:solidFill>
          <a:miter/>
          <a:tailEnd len="med" type="arrow" w="med"/>
        </a:ln>
      </xdr:spPr>
    </xdr:cxnSp>
    <xdr:clientData/>
  </xdr:twoCellAnchor>
  <xdr:twoCellAnchor editAs="oneCell">
    <xdr:from>
      <xdr:col>7</xdr:col>
      <xdr:colOff>171360</xdr:colOff>
      <xdr:row>99</xdr:row>
      <xdr:rowOff>19080</xdr:rowOff>
    </xdr:from>
    <xdr:to>
      <xdr:col>9</xdr:col>
      <xdr:colOff>2191320</xdr:colOff>
      <xdr:row>107</xdr:row>
      <xdr:rowOff>171360</xdr:rowOff>
    </xdr:to>
    <xdr:sp>
      <xdr:nvSpPr>
        <xdr:cNvPr id="52" name="Прямоугольник 55"/>
        <xdr:cNvSpPr/>
      </xdr:nvSpPr>
      <xdr:spPr>
        <a:xfrm>
          <a:off x="10618560" y="20650320"/>
          <a:ext cx="5969520" cy="1676160"/>
        </a:xfrm>
        <a:prstGeom prst="rect">
          <a:avLst/>
        </a:prstGeom>
        <a:gradFill rotWithShape="0">
          <a:gsLst>
            <a:gs pos="0">
              <a:srgbClr val="BCBCBC"/>
            </a:gs>
            <a:gs pos="100000">
              <a:srgbClr val="EDEDED"/>
            </a:gs>
          </a:gsLst>
          <a:lin ang="16200000"/>
        </a:gradFill>
        <a:ln w="9360">
          <a:solidFill>
            <a:srgbClr val="000000"/>
          </a:solidFill>
          <a:miter/>
        </a:ln>
        <a:effectLst>
          <a:outerShdw dist="20160" dir="5400000" rotWithShape="0">
            <a:srgbClr val="000000">
              <a:alpha val="38000"/>
            </a:srgbClr>
          </a:outerShdw>
        </a:effectLst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endParaRPr lang="ru-RU" sz="400" b="0" u="none" strike="noStrike">
            <a:effectLst/>
            <a:uFillTx/>
            <a:latin typeface="Times New Roman"/>
          </a:endParaRPr>
        </a:p>
        <a:p>
          <a:r>
            <a:rPr lang="ru-RU" sz="1200" b="0" u="none" strike="noStrike">
              <a:solidFill>
                <a:srgbClr val="000000"/>
              </a:solidFill>
              <a:effectLst/>
              <a:uFillTx/>
              <a:latin typeface="Calibri"/>
            </a:rPr>
            <a:t>Внесите ФИО сотрудников, которым будут производиться начисления.</a:t>
          </a:r>
          <a:endParaRPr lang="ru-RU" sz="1200" b="0" u="none" strike="noStrike">
            <a:effectLst/>
            <a:uFillTx/>
            <a:latin typeface="Times New Roman"/>
          </a:endParaRPr>
        </a:p>
        <a:p>
          <a:r>
            <a:rPr lang="ru-RU" sz="1200" b="0" u="none" strike="noStrike">
              <a:solidFill>
                <a:srgbClr val="000000"/>
              </a:solidFill>
              <a:effectLst/>
              <a:uFillTx/>
              <a:latin typeface="Calibri"/>
            </a:rPr>
            <a:t>(формат ячеек должен быть сохранен: текстовый)</a:t>
          </a:r>
          <a:endParaRPr lang="ru-RU" sz="1200" b="0" u="none" strike="noStrike">
            <a:effectLst/>
            <a:uFillTx/>
            <a:latin typeface="Times New Roman"/>
          </a:endParaRPr>
        </a:p>
        <a:p>
          <a:endParaRPr lang="ru-RU" sz="1200" b="0" u="none" strike="noStrike">
            <a:effectLst/>
            <a:uFillTx/>
            <a:latin typeface="Times New Roman"/>
          </a:endParaRPr>
        </a:p>
        <a:p>
          <a:endParaRPr lang="ru-RU" sz="1200" b="0" u="none" strike="noStrike">
            <a:effectLst/>
            <a:uFillTx/>
            <a:latin typeface="Times New Roman"/>
          </a:endParaRPr>
        </a:p>
        <a:p>
          <a:endParaRPr lang="ru-RU" sz="1200" b="0" u="none" strike="noStrike">
            <a:effectLst/>
            <a:uFillTx/>
            <a:latin typeface="Times New Roman"/>
          </a:endParaRPr>
        </a:p>
        <a:p>
          <a:endParaRPr lang="ru-RU" sz="1200" b="0" u="none" strike="noStrike">
            <a:effectLst/>
            <a:uFillTx/>
            <a:latin typeface="Times New Roman"/>
          </a:endParaRPr>
        </a:p>
        <a:p>
          <a:endParaRPr lang="ru-RU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7</xdr:col>
      <xdr:colOff>261720</xdr:colOff>
      <xdr:row>101</xdr:row>
      <xdr:rowOff>57240</xdr:rowOff>
    </xdr:from>
    <xdr:to>
      <xdr:col>9</xdr:col>
      <xdr:colOff>2120760</xdr:colOff>
      <xdr:row>107</xdr:row>
      <xdr:rowOff>75240</xdr:rowOff>
    </xdr:to>
    <xdr:sp>
      <xdr:nvSpPr>
        <xdr:cNvPr id="53" name="Прямоугольник 56"/>
        <xdr:cNvSpPr/>
      </xdr:nvSpPr>
      <xdr:spPr>
        <a:xfrm>
          <a:off x="10708920" y="21069360"/>
          <a:ext cx="5808600" cy="1161000"/>
        </a:xfrm>
        <a:prstGeom prst="rect">
          <a:avLst/>
        </a:prstGeom>
        <a:gradFill rotWithShape="0">
          <a:gsLst>
            <a:gs pos="0">
              <a:srgbClr val="FFA2A1"/>
            </a:gs>
            <a:gs pos="100000">
              <a:srgbClr val="FFE5E5"/>
            </a:gs>
          </a:gsLst>
          <a:lin ang="16200000"/>
        </a:gradFill>
        <a:ln w="9360">
          <a:solidFill>
            <a:srgbClr val="BE4B48"/>
          </a:solidFill>
          <a:miter/>
        </a:ln>
        <a:effectLst>
          <a:outerShdw dist="20160" dir="5400000" rotWithShape="0">
            <a:srgbClr val="000000">
              <a:alpha val="38000"/>
            </a:srgbClr>
          </a:outerShdw>
        </a:effectLst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noAutofit/>
        </a:bodyPr>
        <a:p>
          <a:r>
            <a:rPr lang="ru-RU" sz="1200" b="0" u="none" strike="noStrike">
              <a:solidFill>
                <a:srgbClr val="000000"/>
              </a:solidFill>
              <a:effectLst/>
              <a:uFillTx/>
              <a:latin typeface="Calibri"/>
            </a:rPr>
            <a:t>Если в ФИО сотрудников были допущены ошибки или ФИО сотрудников не соответствуют номерам счетов - реестр будет отклонен!!! </a:t>
          </a:r>
          <a:endParaRPr lang="ru-RU" sz="1200" b="0" u="none" strike="noStrike">
            <a:effectLst/>
            <a:uFillTx/>
            <a:latin typeface="Times New Roman"/>
          </a:endParaRPr>
        </a:p>
        <a:p>
          <a:endParaRPr lang="ru-RU" sz="1200" b="0" u="none" strike="noStrike">
            <a:effectLst/>
            <a:uFillTx/>
            <a:latin typeface="Times New Roman"/>
          </a:endParaRPr>
        </a:p>
        <a:p>
          <a:r>
            <a:rPr lang="ru-RU" sz="1200" b="0" u="none" strike="noStrike">
              <a:solidFill>
                <a:srgbClr val="000000"/>
              </a:solidFill>
              <a:effectLst/>
              <a:uFillTx/>
              <a:latin typeface="Calibri"/>
            </a:rPr>
            <a:t>Если в ФИО сотрудников были допущены ошибки или ФИО сотрудников не соответствуют номерам счетов, а у компании подключена услуга "Частичное зачисление", то начисление по реестру будет произведено только по корректным записям. </a:t>
          </a:r>
          <a:endParaRPr lang="ru-RU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</xdr:col>
      <xdr:colOff>462240</xdr:colOff>
      <xdr:row>103</xdr:row>
      <xdr:rowOff>28440</xdr:rowOff>
    </xdr:from>
    <xdr:to>
      <xdr:col>7</xdr:col>
      <xdr:colOff>187560</xdr:colOff>
      <xdr:row>103</xdr:row>
      <xdr:rowOff>28440</xdr:rowOff>
    </xdr:to>
    <xdr:sp>
      <xdr:nvSpPr>
        <xdr:cNvPr id="54" name="Прямая соединительная линия 57"/>
        <xdr:cNvSpPr/>
      </xdr:nvSpPr>
      <xdr:spPr>
        <a:xfrm flipH="1">
          <a:off x="1100520" y="21421440"/>
          <a:ext cx="953424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1358280</xdr:colOff>
      <xdr:row>102</xdr:row>
      <xdr:rowOff>19080</xdr:rowOff>
    </xdr:from>
    <xdr:to>
      <xdr:col>1</xdr:col>
      <xdr:colOff>1361880</xdr:colOff>
      <xdr:row>103</xdr:row>
      <xdr:rowOff>27720</xdr:rowOff>
    </xdr:to>
    <xdr:cxnSp>
      <xdr:nvCxnSpPr>
        <xdr:cNvPr id="55" name="Прямая со стрелкой 59"/>
        <xdr:cNvCxnSpPr/>
      </xdr:nvCxnSpPr>
      <xdr:spPr>
        <a:xfrm flipV="1">
          <a:off x="1996560" y="21221640"/>
          <a:ext cx="3960" cy="199440"/>
        </a:xfrm>
        <a:prstGeom prst="straightConnector1">
          <a:avLst/>
        </a:prstGeom>
        <a:ln w="9360">
          <a:solidFill>
            <a:srgbClr val="000000"/>
          </a:solidFill>
          <a:miter/>
          <a:tailEnd len="med" type="arrow" w="med"/>
        </a:ln>
      </xdr:spPr>
    </xdr:cxnSp>
    <xdr:clientData/>
  </xdr:twoCellAnchor>
  <xdr:twoCellAnchor editAs="oneCell">
    <xdr:from>
      <xdr:col>1</xdr:col>
      <xdr:colOff>0</xdr:colOff>
      <xdr:row>90</xdr:row>
      <xdr:rowOff>342720</xdr:rowOff>
    </xdr:from>
    <xdr:to>
      <xdr:col>7</xdr:col>
      <xdr:colOff>6120</xdr:colOff>
      <xdr:row>101</xdr:row>
      <xdr:rowOff>189720</xdr:rowOff>
    </xdr:to>
    <xdr:pic>
      <xdr:nvPicPr>
        <xdr:cNvPr id="56" name="Рисунок 14"/>
        <xdr:cNvPicPr/>
      </xdr:nvPicPr>
      <xdr:blipFill>
        <a:blip r:embed="rId2"/>
        <a:stretch/>
      </xdr:blipFill>
      <xdr:spPr>
        <a:xfrm>
          <a:off x="638280" y="18802080"/>
          <a:ext cx="9815040" cy="2399760"/>
        </a:xfrm>
        <a:prstGeom prst="rect">
          <a:avLst/>
        </a:prstGeom>
        <a:noFill/>
        <a:ln w="9360">
          <a:solidFill>
            <a:srgbClr val="000000"/>
          </a:solidFill>
          <a:miter/>
        </a:ln>
      </xdr:spPr>
    </xdr:pic>
    <xdr:clientData/>
  </xdr:twoCellAnchor>
  <xdr:twoCellAnchor editAs="oneCell">
    <xdr:from>
      <xdr:col>3</xdr:col>
      <xdr:colOff>362520</xdr:colOff>
      <xdr:row>97</xdr:row>
      <xdr:rowOff>66960</xdr:rowOff>
    </xdr:from>
    <xdr:to>
      <xdr:col>7</xdr:col>
      <xdr:colOff>177480</xdr:colOff>
      <xdr:row>99</xdr:row>
      <xdr:rowOff>19440</xdr:rowOff>
    </xdr:to>
    <xdr:cxnSp>
      <xdr:nvCxnSpPr>
        <xdr:cNvPr id="57" name="Прямая со стрелкой 63"/>
        <xdr:cNvCxnSpPr/>
      </xdr:nvCxnSpPr>
      <xdr:spPr>
        <a:xfrm flipH="1">
          <a:off x="5438160" y="20316960"/>
          <a:ext cx="5186880" cy="334080"/>
        </a:xfrm>
        <a:prstGeom prst="straightConnector1">
          <a:avLst/>
        </a:prstGeom>
        <a:ln w="9360">
          <a:solidFill>
            <a:srgbClr val="000000"/>
          </a:solidFill>
          <a:miter/>
          <a:tailEnd len="med" type="arrow" w="med"/>
        </a:ln>
      </xdr:spPr>
    </xdr:cxnSp>
    <xdr:clientData/>
  </xdr:twoCellAnchor>
  <xdr:twoCellAnchor editAs="oneCell">
    <xdr:from>
      <xdr:col>0</xdr:col>
      <xdr:colOff>608400</xdr:colOff>
      <xdr:row>104</xdr:row>
      <xdr:rowOff>0</xdr:rowOff>
    </xdr:from>
    <xdr:to>
      <xdr:col>7</xdr:col>
      <xdr:colOff>35280</xdr:colOff>
      <xdr:row>107</xdr:row>
      <xdr:rowOff>179280</xdr:rowOff>
    </xdr:to>
    <xdr:sp>
      <xdr:nvSpPr>
        <xdr:cNvPr id="58" name="Прямоугольник 66"/>
        <xdr:cNvSpPr/>
      </xdr:nvSpPr>
      <xdr:spPr>
        <a:xfrm>
          <a:off x="608400" y="21583800"/>
          <a:ext cx="9874080" cy="750600"/>
        </a:xfrm>
        <a:prstGeom prst="rect">
          <a:avLst/>
        </a:prstGeom>
        <a:gradFill rotWithShape="0">
          <a:gsLst>
            <a:gs pos="0">
              <a:srgbClr val="BCBCBC"/>
            </a:gs>
            <a:gs pos="100000">
              <a:srgbClr val="EDEDED"/>
            </a:gs>
          </a:gsLst>
          <a:lin ang="16200000"/>
        </a:gradFill>
        <a:ln w="9360">
          <a:solidFill>
            <a:srgbClr val="000000"/>
          </a:solidFill>
          <a:miter/>
        </a:ln>
        <a:effectLst>
          <a:outerShdw dist="20160" dir="5400000" rotWithShape="0">
            <a:srgbClr val="000000">
              <a:alpha val="38000"/>
            </a:srgbClr>
          </a:outerShdw>
        </a:effectLst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noAutofit/>
        </a:bodyPr>
        <a:p>
          <a:r>
            <a:rPr lang="ru-RU" sz="1200" b="0" u="none" strike="noStrike">
              <a:solidFill>
                <a:srgbClr val="000000"/>
              </a:solidFill>
              <a:effectLst/>
              <a:uFillTx/>
              <a:latin typeface="Calibri"/>
            </a:rPr>
            <a:t>Если из переводимых сотруднику денежных средств вами произведено удержание по исполнительному документу, в поле необходимо указать сумму.</a:t>
          </a:r>
          <a:endParaRPr lang="ru-RU" sz="1200" b="0" u="none" strike="noStrike">
            <a:effectLst/>
            <a:uFillTx/>
            <a:latin typeface="Times New Roman"/>
          </a:endParaRPr>
        </a:p>
        <a:p>
          <a:r>
            <a:rPr lang="ru-RU" sz="1200" b="0" u="none" strike="noStrike">
              <a:solidFill>
                <a:srgbClr val="000000"/>
              </a:solidFill>
              <a:effectLst/>
              <a:uFillTx/>
              <a:latin typeface="Calibri"/>
            </a:rPr>
            <a:t>(формат ячеек должен быть сохранен: числовой, число десятичных знаков - 2)</a:t>
          </a:r>
          <a:endParaRPr lang="ru-RU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</xdr:col>
      <xdr:colOff>1649160</xdr:colOff>
      <xdr:row>93</xdr:row>
      <xdr:rowOff>93960</xdr:rowOff>
    </xdr:from>
    <xdr:to>
      <xdr:col>7</xdr:col>
      <xdr:colOff>158400</xdr:colOff>
      <xdr:row>96</xdr:row>
      <xdr:rowOff>105120</xdr:rowOff>
    </xdr:to>
    <xdr:cxnSp>
      <xdr:nvCxnSpPr>
        <xdr:cNvPr id="59" name="Прямая со стрелкой 71"/>
        <xdr:cNvCxnSpPr/>
      </xdr:nvCxnSpPr>
      <xdr:spPr>
        <a:xfrm flipH="1">
          <a:off x="4218840" y="19582200"/>
          <a:ext cx="6387120" cy="582840"/>
        </a:xfrm>
        <a:prstGeom prst="straightConnector1">
          <a:avLst/>
        </a:prstGeom>
        <a:ln w="9360">
          <a:solidFill>
            <a:srgbClr val="000000"/>
          </a:solidFill>
          <a:miter/>
          <a:tailEnd len="med" type="arrow" w="med"/>
        </a:ln>
      </xdr:spPr>
    </xdr:cxnSp>
    <xdr:clientData/>
  </xdr:twoCellAnchor>
  <xdr:twoCellAnchor editAs="oneCell">
    <xdr:from>
      <xdr:col>2</xdr:col>
      <xdr:colOff>342720</xdr:colOff>
      <xdr:row>101</xdr:row>
      <xdr:rowOff>189000</xdr:rowOff>
    </xdr:from>
    <xdr:to>
      <xdr:col>2</xdr:col>
      <xdr:colOff>348120</xdr:colOff>
      <xdr:row>103</xdr:row>
      <xdr:rowOff>18360</xdr:rowOff>
    </xdr:to>
    <xdr:cxnSp>
      <xdr:nvCxnSpPr>
        <xdr:cNvPr id="60" name="Прямая со стрелкой 76"/>
        <xdr:cNvCxnSpPr/>
      </xdr:nvCxnSpPr>
      <xdr:spPr>
        <a:xfrm flipV="1">
          <a:off x="2912400" y="21201120"/>
          <a:ext cx="5760" cy="210600"/>
        </a:xfrm>
        <a:prstGeom prst="straightConnector1">
          <a:avLst/>
        </a:prstGeom>
        <a:ln w="9360">
          <a:solidFill>
            <a:srgbClr val="000000"/>
          </a:solidFill>
          <a:miter/>
          <a:tailEnd len="med" type="arrow" w="med"/>
        </a:ln>
      </xdr:spPr>
    </xdr:cxnSp>
    <xdr:clientData/>
  </xdr:twoCellAnchor>
  <xdr:twoCellAnchor editAs="oneCell">
    <xdr:from>
      <xdr:col>1</xdr:col>
      <xdr:colOff>462240</xdr:colOff>
      <xdr:row>102</xdr:row>
      <xdr:rowOff>19080</xdr:rowOff>
    </xdr:from>
    <xdr:to>
      <xdr:col>1</xdr:col>
      <xdr:colOff>465840</xdr:colOff>
      <xdr:row>103</xdr:row>
      <xdr:rowOff>27720</xdr:rowOff>
    </xdr:to>
    <xdr:cxnSp>
      <xdr:nvCxnSpPr>
        <xdr:cNvPr id="61" name="Прямая со стрелкой 77"/>
        <xdr:cNvCxnSpPr/>
      </xdr:nvCxnSpPr>
      <xdr:spPr>
        <a:xfrm flipV="1">
          <a:off x="1100520" y="21221640"/>
          <a:ext cx="3960" cy="199440"/>
        </a:xfrm>
        <a:prstGeom prst="straightConnector1">
          <a:avLst/>
        </a:prstGeom>
        <a:ln w="9360">
          <a:solidFill>
            <a:srgbClr val="000000"/>
          </a:solidFill>
          <a:miter/>
          <a:tailEnd len="med" type="arrow" w="med"/>
        </a:ln>
      </xdr:spPr>
    </xdr:cxnSp>
    <xdr:clientData/>
  </xdr:twoCellAnchor>
  <xdr:twoCellAnchor editAs="oneCell">
    <xdr:from>
      <xdr:col>6</xdr:col>
      <xdr:colOff>440280</xdr:colOff>
      <xdr:row>93</xdr:row>
      <xdr:rowOff>-360</xdr:rowOff>
    </xdr:from>
    <xdr:to>
      <xdr:col>6</xdr:col>
      <xdr:colOff>442440</xdr:colOff>
      <xdr:row>104</xdr:row>
      <xdr:rowOff>18360</xdr:rowOff>
    </xdr:to>
    <xdr:cxnSp>
      <xdr:nvCxnSpPr>
        <xdr:cNvPr id="62" name="Прямая со стрелкой 78"/>
        <xdr:cNvCxnSpPr/>
      </xdr:nvCxnSpPr>
      <xdr:spPr>
        <a:xfrm flipH="1" flipV="1">
          <a:off x="9851760" y="19487880"/>
          <a:ext cx="2520" cy="2114640"/>
        </a:xfrm>
        <a:prstGeom prst="straightConnector1">
          <a:avLst/>
        </a:prstGeom>
        <a:ln w="9360">
          <a:solidFill>
            <a:srgbClr val="000000"/>
          </a:solidFill>
          <a:miter/>
          <a:tailEnd len="med" type="arrow" w="med"/>
        </a:ln>
      </xdr:spPr>
    </xdr:cxnSp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le://s41-fs01.regions.alfaintra.net/Users$/Users/U_414l9/AppData/Local/Temp/notes97BCFB/FN_INT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Реестр"/>
      <sheetName val="Info"/>
      <sheetName val="Payments"/>
      <sheetName val="Spravochnik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CC00"/>
    <pageSetUpPr fitToPage="true"/>
  </sheetPr>
  <dimension ref="A1:K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3" min="3" style="0" width="35.98"/>
    <col collapsed="false" customWidth="true" hidden="false" outlineLevel="0" max="4" min="4" style="0" width="37.55"/>
    <col collapsed="false" customWidth="true" hidden="false" outlineLevel="0" max="5" min="5" style="0" width="19.4"/>
    <col collapsed="false" customWidth="true" hidden="false" outlineLevel="0" max="6" min="6" style="0" width="20.13"/>
    <col collapsed="false" customWidth="true" hidden="false" outlineLevel="0" max="7" min="7" style="0" width="9.84"/>
  </cols>
  <sheetData>
    <row r="1" customFormat="false" ht="15.75" hidden="false" customHeight="false" outlineLevel="0" collapsed="false">
      <c r="A1" s="1"/>
      <c r="B1" s="1"/>
      <c r="C1" s="1"/>
      <c r="D1" s="1"/>
      <c r="E1" s="1"/>
      <c r="F1" s="1"/>
      <c r="G1" s="2" t="s">
        <v>0</v>
      </c>
    </row>
    <row r="2" customFormat="false" ht="15.75" hidden="false" customHeight="false" outlineLevel="0" collapsed="false">
      <c r="A2" s="1"/>
      <c r="B2" s="1"/>
      <c r="C2" s="1"/>
      <c r="D2" s="1"/>
      <c r="E2" s="1"/>
      <c r="F2" s="1"/>
      <c r="G2" s="3" t="s">
        <v>1</v>
      </c>
    </row>
    <row r="3" customFormat="false" ht="15.75" hidden="false" customHeight="false" outlineLevel="0" collapsed="false">
      <c r="A3" s="1"/>
      <c r="B3" s="1"/>
      <c r="C3" s="1"/>
      <c r="D3" s="1"/>
      <c r="E3" s="1"/>
      <c r="F3" s="1"/>
      <c r="G3" s="3" t="s">
        <v>2</v>
      </c>
    </row>
    <row r="4" customFormat="false" ht="15.75" hidden="false" customHeight="false" outlineLevel="0" collapsed="false">
      <c r="A4" s="1"/>
      <c r="B4" s="1"/>
      <c r="C4" s="1"/>
      <c r="D4" s="1"/>
      <c r="E4" s="1"/>
      <c r="F4" s="4" t="s">
        <v>3</v>
      </c>
      <c r="G4" s="5" t="s">
        <v>4</v>
      </c>
    </row>
    <row r="5" customFormat="false" ht="15.75" hidden="false" customHeight="false" outlineLevel="0" collapsed="false">
      <c r="A5" s="1"/>
      <c r="B5" s="1"/>
      <c r="C5" s="1"/>
      <c r="D5" s="1"/>
      <c r="E5" s="6"/>
      <c r="F5" s="1"/>
      <c r="G5" s="1"/>
    </row>
    <row r="6" customFormat="false" ht="15.75" hidden="false" customHeight="false" outlineLevel="0" collapsed="false">
      <c r="A6" s="1"/>
      <c r="B6" s="1"/>
      <c r="C6" s="1"/>
      <c r="D6" s="7" t="s">
        <v>5</v>
      </c>
      <c r="E6" s="1"/>
      <c r="F6" s="1"/>
      <c r="G6" s="6"/>
    </row>
    <row r="7" customFormat="false" ht="15.75" hidden="false" customHeight="false" outlineLevel="0" collapsed="false">
      <c r="A7" s="1"/>
      <c r="B7" s="1"/>
      <c r="C7" s="1"/>
      <c r="D7" s="1"/>
      <c r="E7" s="6"/>
      <c r="F7" s="1"/>
      <c r="G7" s="1"/>
    </row>
    <row r="8" customFormat="false" ht="15.75" hidden="false" customHeight="false" outlineLevel="0" collapsed="false">
      <c r="A8" s="1"/>
      <c r="B8" s="8" t="s">
        <v>6</v>
      </c>
      <c r="C8" s="9"/>
      <c r="D8" s="1"/>
      <c r="E8" s="6"/>
      <c r="F8" s="1"/>
      <c r="G8" s="1"/>
    </row>
    <row r="9" customFormat="false" ht="15.75" hidden="false" customHeight="false" outlineLevel="0" collapsed="false">
      <c r="A9" s="1"/>
      <c r="B9" s="10" t="s">
        <v>7</v>
      </c>
      <c r="C9" s="9"/>
      <c r="D9" s="1"/>
      <c r="E9" s="6"/>
      <c r="F9" s="1"/>
      <c r="G9" s="1"/>
    </row>
    <row r="10" customFormat="false" ht="15.75" hidden="false" customHeight="false" outlineLevel="0" collapsed="false">
      <c r="A10" s="1"/>
      <c r="B10" s="8" t="s">
        <v>8</v>
      </c>
      <c r="C10" s="1"/>
      <c r="D10" s="1"/>
      <c r="E10" s="6"/>
      <c r="F10" s="1"/>
      <c r="G10" s="1"/>
    </row>
    <row r="11" customFormat="false" ht="15.75" hidden="false" customHeight="false" outlineLevel="0" collapsed="false">
      <c r="A11" s="1"/>
      <c r="B11" s="8" t="s">
        <v>9</v>
      </c>
      <c r="C11" s="1"/>
      <c r="D11" s="1"/>
      <c r="E11" s="6"/>
      <c r="F11" s="1"/>
      <c r="G11" s="1"/>
    </row>
    <row r="12" customFormat="false" ht="15.75" hidden="false" customHeight="false" outlineLevel="0" collapsed="false">
      <c r="A12" s="1"/>
      <c r="B12" s="10" t="s">
        <v>10</v>
      </c>
      <c r="C12" s="1"/>
      <c r="D12" s="1"/>
      <c r="E12" s="6"/>
      <c r="F12" s="1"/>
      <c r="G12" s="1"/>
    </row>
    <row r="13" customFormat="false" ht="15.75" hidden="false" customHeight="false" outlineLevel="0" collapsed="false">
      <c r="A13" s="1"/>
      <c r="B13" s="8" t="s">
        <v>11</v>
      </c>
      <c r="C13" s="1"/>
      <c r="D13" s="1"/>
      <c r="E13" s="6"/>
      <c r="F13" s="1"/>
      <c r="G13" s="1"/>
    </row>
    <row r="14" customFormat="false" ht="18.75" hidden="false" customHeight="false" outlineLevel="0" collapsed="false">
      <c r="A14" s="1"/>
      <c r="B14" s="11"/>
      <c r="C14" s="1"/>
      <c r="D14" s="1"/>
      <c r="E14" s="6"/>
      <c r="F14" s="1"/>
      <c r="G14" s="1"/>
    </row>
    <row r="15" customFormat="false" ht="18.75" hidden="false" customHeight="false" outlineLevel="0" collapsed="false">
      <c r="A15" s="1"/>
      <c r="B15" s="1"/>
      <c r="C15" s="1"/>
      <c r="D15" s="1"/>
      <c r="E15" s="12" t="s">
        <v>12</v>
      </c>
      <c r="G15" s="1"/>
    </row>
    <row r="16" customFormat="false" ht="33" hidden="false" customHeight="true" outlineLevel="0" collapsed="false">
      <c r="A16" s="1"/>
      <c r="B16" s="13" t="s">
        <v>13</v>
      </c>
      <c r="C16" s="13" t="s">
        <v>14</v>
      </c>
      <c r="D16" s="13" t="s">
        <v>15</v>
      </c>
      <c r="E16" s="13" t="s">
        <v>16</v>
      </c>
      <c r="G16" s="1"/>
    </row>
    <row r="17" customFormat="false" ht="21" hidden="false" customHeight="true" outlineLevel="0" collapsed="false">
      <c r="A17" s="1"/>
      <c r="B17" s="14" t="n">
        <v>1</v>
      </c>
      <c r="C17" s="15"/>
      <c r="D17" s="16"/>
      <c r="E17" s="16"/>
      <c r="G17" s="1"/>
    </row>
    <row r="18" customFormat="false" ht="18.75" hidden="false" customHeight="false" outlineLevel="0" collapsed="false">
      <c r="A18" s="1"/>
      <c r="B18" s="14" t="n">
        <v>2</v>
      </c>
      <c r="C18" s="15"/>
      <c r="D18" s="16"/>
      <c r="E18" s="16"/>
      <c r="G18" s="1"/>
    </row>
    <row r="19" customFormat="false" ht="18.75" hidden="false" customHeight="false" outlineLevel="0" collapsed="false">
      <c r="A19" s="1"/>
      <c r="B19" s="17"/>
      <c r="C19" s="17"/>
      <c r="D19" s="18"/>
      <c r="E19" s="19"/>
      <c r="F19" s="17"/>
      <c r="G19" s="20"/>
    </row>
    <row r="20" customFormat="false" ht="15.75" hidden="false" customHeight="false" outlineLevel="0" collapsed="false">
      <c r="A20" s="1"/>
      <c r="B20" s="1" t="s">
        <v>17</v>
      </c>
      <c r="C20" s="1"/>
      <c r="D20" s="1"/>
      <c r="E20" s="6"/>
      <c r="F20" s="1"/>
      <c r="G20" s="1"/>
    </row>
    <row r="21" customFormat="false" ht="15.75" hidden="false" customHeight="false" outlineLevel="0" collapsed="false">
      <c r="A21" s="1"/>
      <c r="B21" s="5" t="s">
        <v>18</v>
      </c>
      <c r="C21" s="1"/>
      <c r="D21" s="1"/>
      <c r="E21" s="6"/>
      <c r="F21" s="1"/>
      <c r="G21" s="1"/>
    </row>
    <row r="22" customFormat="false" ht="15.75" hidden="false" customHeight="false" outlineLevel="0" collapsed="false">
      <c r="A22" s="1"/>
      <c r="B22" s="1" t="s">
        <v>19</v>
      </c>
      <c r="C22" s="1"/>
      <c r="D22" s="1"/>
      <c r="E22" s="1"/>
      <c r="F22" s="6"/>
      <c r="G22" s="1"/>
    </row>
    <row r="23" customFormat="false" ht="15.75" hidden="false" customHeight="false" outlineLevel="0" collapsed="false">
      <c r="A23" s="1"/>
      <c r="B23" s="1"/>
      <c r="C23" s="1"/>
      <c r="D23" s="1"/>
      <c r="E23" s="21"/>
      <c r="F23" s="1"/>
      <c r="G23" s="1"/>
    </row>
    <row r="24" customFormat="false" ht="15.75" hidden="false" customHeight="false" outlineLevel="0" collapsed="false">
      <c r="A24" s="1"/>
      <c r="B24" s="1"/>
      <c r="C24" s="1"/>
      <c r="D24" s="1"/>
      <c r="E24" s="21"/>
      <c r="F24" s="1"/>
      <c r="G24" s="1"/>
    </row>
    <row r="25" customFormat="false" ht="15.75" hidden="false" customHeight="false" outlineLevel="0" collapsed="false">
      <c r="A25" s="1"/>
      <c r="B25" s="8" t="s">
        <v>20</v>
      </c>
      <c r="C25" s="1"/>
      <c r="D25" s="1"/>
      <c r="E25" s="1"/>
      <c r="F25" s="1"/>
      <c r="G25" s="1"/>
      <c r="H25" s="22"/>
      <c r="I25" s="22"/>
      <c r="J25" s="22"/>
      <c r="K25" s="22"/>
    </row>
    <row r="26" customFormat="false" ht="15.75" hidden="false" customHeight="false" outlineLevel="0" collapsed="false">
      <c r="A26" s="1"/>
      <c r="B26" s="1"/>
      <c r="C26" s="1"/>
      <c r="D26" s="1"/>
      <c r="E26" s="21"/>
      <c r="F26" s="1"/>
      <c r="G26" s="1"/>
      <c r="H26" s="22"/>
      <c r="I26" s="22"/>
      <c r="J26" s="22"/>
      <c r="K26" s="22"/>
    </row>
    <row r="27" customFormat="false" ht="23.25" hidden="false" customHeight="true" outlineLevel="0" collapsed="false">
      <c r="A27" s="1"/>
      <c r="B27" s="1"/>
      <c r="C27" s="1"/>
      <c r="D27" s="1"/>
      <c r="E27" s="6"/>
      <c r="F27" s="23"/>
      <c r="G27" s="23"/>
      <c r="K27" s="22"/>
    </row>
    <row r="28" customFormat="false" ht="15.75" hidden="false" customHeight="false" outlineLevel="0" collapsed="false">
      <c r="A28" s="1"/>
      <c r="B28" s="24" t="s">
        <v>21</v>
      </c>
      <c r="C28" s="1"/>
      <c r="D28" s="8" t="s">
        <v>22</v>
      </c>
      <c r="E28" s="7"/>
      <c r="F28" s="25"/>
      <c r="G28" s="23"/>
      <c r="K28" s="22"/>
    </row>
    <row r="29" customFormat="false" ht="27.75" hidden="false" customHeight="true" outlineLevel="0" collapsed="false">
      <c r="A29" s="1"/>
      <c r="B29" s="23"/>
      <c r="C29" s="1"/>
      <c r="D29" s="9"/>
      <c r="E29" s="26" t="s">
        <v>23</v>
      </c>
      <c r="F29" s="26" t="s">
        <v>24</v>
      </c>
      <c r="G29" s="1"/>
      <c r="K29" s="22"/>
    </row>
    <row r="30" customFormat="false" ht="15.75" hidden="false" customHeight="false" outlineLevel="0" collapsed="false">
      <c r="A30" s="1"/>
      <c r="B30" s="23"/>
      <c r="C30" s="1"/>
      <c r="D30" s="8" t="s">
        <v>25</v>
      </c>
      <c r="E30" s="5"/>
      <c r="F30" s="5"/>
      <c r="G30" s="1"/>
      <c r="H30" s="22"/>
      <c r="I30" s="22"/>
      <c r="J30" s="22"/>
      <c r="K30" s="22"/>
    </row>
    <row r="31" customFormat="false" ht="18.75" hidden="false" customHeight="false" outlineLevel="0" collapsed="false">
      <c r="A31" s="1"/>
      <c r="B31" s="23"/>
      <c r="C31" s="1"/>
      <c r="D31" s="23"/>
      <c r="E31" s="26" t="s">
        <v>23</v>
      </c>
      <c r="F31" s="26" t="s">
        <v>24</v>
      </c>
      <c r="G31" s="1"/>
      <c r="H31" s="22"/>
      <c r="I31" s="22"/>
      <c r="J31" s="22"/>
      <c r="K31" s="22"/>
    </row>
    <row r="32" customFormat="false" ht="12.75" hidden="false" customHeight="false" outlineLevel="0" collapsed="false">
      <c r="H32" s="22"/>
      <c r="I32" s="22"/>
      <c r="J32" s="22"/>
      <c r="K32" s="22"/>
    </row>
    <row r="33" customFormat="false" ht="12.75" hidden="false" customHeight="false" outlineLevel="0" collapsed="false">
      <c r="H33" s="22"/>
      <c r="I33" s="22"/>
      <c r="J33" s="22"/>
      <c r="K33" s="22"/>
    </row>
    <row r="34" customFormat="false" ht="12.75" hidden="false" customHeight="false" outlineLevel="0" collapsed="false">
      <c r="H34" s="22"/>
      <c r="I34" s="22"/>
      <c r="J34" s="22"/>
      <c r="K34" s="22"/>
    </row>
    <row r="35" customFormat="false" ht="12.75" hidden="false" customHeight="false" outlineLevel="0" collapsed="false">
      <c r="H35" s="22"/>
      <c r="I35" s="22"/>
      <c r="J35" s="22"/>
      <c r="K35" s="22"/>
    </row>
    <row r="36" customFormat="false" ht="12.75" hidden="false" customHeight="false" outlineLevel="0" collapsed="false">
      <c r="H36" s="22"/>
      <c r="I36" s="22"/>
      <c r="J36" s="22"/>
      <c r="K36" s="22"/>
    </row>
    <row r="37" customFormat="false" ht="12.75" hidden="false" customHeight="false" outlineLevel="0" collapsed="false">
      <c r="B37" s="27"/>
      <c r="E37" s="28"/>
      <c r="G37" s="22"/>
      <c r="H37" s="22"/>
      <c r="I37" s="22"/>
      <c r="J37" s="22"/>
      <c r="K37" s="22"/>
    </row>
    <row r="38" customFormat="false" ht="12.75" hidden="false" customHeight="false" outlineLevel="0" collapsed="false">
      <c r="E38" s="22"/>
      <c r="F38" s="22"/>
      <c r="G38" s="22"/>
      <c r="H38" s="22"/>
      <c r="I38" s="22"/>
      <c r="J38" s="22"/>
      <c r="K38" s="22"/>
    </row>
    <row r="39" customFormat="false" ht="12.75" hidden="false" customHeight="false" outlineLevel="0" collapsed="false">
      <c r="B39" s="29"/>
      <c r="E39" s="29"/>
      <c r="F39" s="30"/>
      <c r="H39" s="22"/>
      <c r="I39" s="22"/>
      <c r="J39" s="22"/>
      <c r="K39" s="22"/>
    </row>
    <row r="40" customFormat="false" ht="12.75" hidden="false" customHeight="false" outlineLevel="0" collapsed="false">
      <c r="E40" s="29"/>
      <c r="F40" s="30"/>
      <c r="H40" s="22"/>
      <c r="I40" s="22"/>
      <c r="J40" s="22"/>
      <c r="K40" s="22"/>
    </row>
    <row r="41" customFormat="false" ht="12.75" hidden="false" customHeight="false" outlineLevel="0" collapsed="false">
      <c r="B41" s="31"/>
      <c r="E41" s="29"/>
      <c r="F41" s="30"/>
      <c r="H41" s="22"/>
      <c r="I41" s="22"/>
      <c r="J41" s="22"/>
      <c r="K41" s="22"/>
    </row>
    <row r="42" customFormat="false" ht="12.75" hidden="false" customHeight="false" outlineLevel="0" collapsed="false">
      <c r="E42" s="32"/>
      <c r="F42" s="3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CC00"/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2890625" defaultRowHeight="12.75" customHeight="false" zeroHeight="false" outlineLevelRow="0" outlineLevelCol="0"/>
  <cols>
    <col collapsed="false" customWidth="true" hidden="false" outlineLevel="0" max="1" min="1" style="33" width="30.12"/>
    <col collapsed="false" customWidth="true" hidden="false" outlineLevel="0" max="2" min="2" style="33" width="22.84"/>
    <col collapsed="false" customWidth="false" hidden="false" outlineLevel="0" max="257" min="3" style="33" width="9.13"/>
  </cols>
  <sheetData>
    <row r="1" customFormat="false" ht="12.75" hidden="false" customHeight="false" outlineLevel="0" collapsed="false">
      <c r="A1" s="34" t="s">
        <v>26</v>
      </c>
      <c r="B1" s="35" t="s">
        <v>27</v>
      </c>
      <c r="D1" s="36" t="str">
        <f aca="false">IF(ISBLANK(B1),"Введите наименование орагнизации!","")</f>
        <v/>
      </c>
    </row>
    <row r="2" customFormat="false" ht="12.75" hidden="false" customHeight="false" outlineLevel="0" collapsed="false">
      <c r="A2" s="34" t="s">
        <v>28</v>
      </c>
      <c r="B2" s="35" t="s">
        <v>29</v>
      </c>
      <c r="D2" s="36" t="str">
        <f aca="false">IF(ISBLANK(B2),"Введите ИНН орагнизации!","")</f>
        <v/>
      </c>
    </row>
    <row r="3" customFormat="false" ht="12.75" hidden="false" customHeight="false" outlineLevel="0" collapsed="false">
      <c r="A3" s="37" t="s">
        <v>30</v>
      </c>
      <c r="B3" s="38"/>
      <c r="D3" s="36"/>
    </row>
    <row r="4" customFormat="false" ht="12.75" hidden="false" customHeight="false" outlineLevel="0" collapsed="false">
      <c r="A4" s="37" t="s">
        <v>31</v>
      </c>
      <c r="B4" s="38"/>
      <c r="D4" s="36"/>
    </row>
    <row r="5" customFormat="false" ht="12.75" hidden="false" customHeight="false" outlineLevel="0" collapsed="false">
      <c r="A5" s="37" t="s">
        <v>32</v>
      </c>
      <c r="B5" s="39"/>
      <c r="D5" s="36"/>
    </row>
    <row r="6" customFormat="false" ht="12.75" hidden="false" customHeight="false" outlineLevel="0" collapsed="false">
      <c r="A6" s="40" t="s">
        <v>33</v>
      </c>
      <c r="B6" s="41" t="s">
        <v>34</v>
      </c>
      <c r="D6" s="36" t="str">
        <f aca="false">IF(ISBLANK(B6),"Введите дату платежной ведомости!","")</f>
        <v/>
      </c>
    </row>
    <row r="7" customFormat="false" ht="12.75" hidden="false" customHeight="false" outlineLevel="0" collapsed="false">
      <c r="A7" s="40" t="s">
        <v>35</v>
      </c>
      <c r="B7" s="42" t="n">
        <v>288</v>
      </c>
      <c r="D7" s="36" t="str">
        <f aca="false">IF(ISBLANK(B7),"Введите основание (код) платежа!","")</f>
        <v/>
      </c>
    </row>
    <row r="8" customFormat="false" ht="12.75" hidden="false" customHeight="false" outlineLevel="0" collapsed="false">
      <c r="A8" s="43" t="s">
        <v>36</v>
      </c>
      <c r="B8" s="44" t="s">
        <v>37</v>
      </c>
      <c r="D8" s="36" t="str">
        <f aca="false">IF(ISBLANK(B8),"Введите валюту ПВ!","")</f>
        <v/>
      </c>
    </row>
    <row r="9" customFormat="false" ht="12.75" hidden="false" customHeight="false" outlineLevel="0" collapsed="false">
      <c r="A9" s="45" t="s">
        <v>38</v>
      </c>
      <c r="B9" s="42"/>
      <c r="D9" s="36"/>
    </row>
    <row r="10" customFormat="false" ht="12.75" hidden="false" customHeight="false" outlineLevel="0" collapsed="false">
      <c r="A10" s="45" t="s">
        <v>39</v>
      </c>
      <c r="B10" s="42"/>
      <c r="D10" s="36"/>
    </row>
    <row r="11" customFormat="false" ht="12.75" hidden="false" customHeight="false" outlineLevel="0" collapsed="false">
      <c r="A11" s="46" t="s">
        <v>40</v>
      </c>
      <c r="B11" s="42"/>
      <c r="D11" s="36"/>
    </row>
    <row r="12" customFormat="false" ht="12.75" hidden="false" customHeight="false" outlineLevel="0" collapsed="false">
      <c r="A12" s="46" t="s">
        <v>41</v>
      </c>
      <c r="B12" s="47"/>
    </row>
    <row r="13" customFormat="false" ht="12.75" hidden="false" customHeight="false" outlineLevel="0" collapsed="false">
      <c r="A13" s="48"/>
      <c r="B13" s="49"/>
    </row>
  </sheetData>
  <sheetProtection sheet="true" password="caa8"/>
  <dataValidations count="9">
    <dataValidation allowBlank="true" error="Дата должна быть в формате ДД.ММ.ГГГГ !" errorStyle="stop" errorTitle="Ошибка!" operator="between" prompt="Формат - ДД.ММ.ГГГГ" promptTitle="Обязательное поле" showDropDown="false" showErrorMessage="true" showInputMessage="true" sqref="B6" type="date">
      <formula1>39083</formula1>
      <formula2>55153</formula2>
    </dataValidation>
    <dataValidation allowBlank="true" error="Неверно указана валюта!" errorStyle="stop" errorTitle="Ошибка!" operator="between" prompt=" " promptTitle="Обязательное поле" showDropDown="false" showErrorMessage="true" showInputMessage="true" sqref="B8" type="list">
      <formula1>"RUR,USD,EUR"</formula1>
      <formula2>0</formula2>
    </dataValidation>
    <dataValidation allowBlank="true" error="Номер счета должен состоять из 20 символов!" errorStyle="stop" errorTitle="Ошибка!" operator="equal" prompt="Если у организации нет Р/С в Альфа-Банке - оставьте ячейку пустой!" promptTitle="Необязательное поле" showDropDown="false" showErrorMessage="true" showInputMessage="true" sqref="B3" type="textLength">
      <formula1>20</formula1>
      <formula2>0</formula2>
    </dataValidation>
    <dataValidation allowBlank="true" error="Дата должна быть в формате ДД.ММ.ГГГГ !" errorStyle="stop" errorTitle="Ошибка!" operator="between" prompt="Формат - ДД.ММ.ГГГГ" promptTitle="Необязательное поле" showDropDown="false" showErrorMessage="true" showInputMessage="true" sqref="B5" type="date">
      <formula1>39264</formula1>
      <formula2>44196</formula2>
    </dataValidation>
    <dataValidation allowBlank="true" error="Размерность поля - 10 или 12 символов!" errorStyle="stop" errorTitle="Ошибка!" operator="between" prompt="Размерность поля - 10 или 12 символов." promptTitle="Обязательное поле" showDropDown="false" showErrorMessage="true" showInputMessage="true" sqref="B2" type="textLength">
      <formula1>10</formula1>
      <formula2>12</formula2>
    </dataValidation>
    <dataValidation allowBlank="true" error="Размерность поля не более 35 символов!" errorStyle="stop" errorTitle="Ошибка!" operator="lessThanOrEqual" prompt="Размерность поля - не более 35 символов." promptTitle="Обязательное поле" showDropDown="false" showErrorMessage="true" showInputMessage="true" sqref="B1" type="textLength">
      <formula1>35</formula1>
      <formula2>0</formula2>
    </dataValidation>
    <dataValidation allowBlank="true" errorStyle="stop" operator="between" prompt=" " promptTitle="Необязательное поле" showDropDown="false" showErrorMessage="true" showInputMessage="true" sqref="B4 B9:B11" type="none">
      <formula1>0</formula1>
      <formula2>0</formula2>
    </dataValidation>
    <dataValidation allowBlank="true" errorStyle="stop" operator="between" showDropDown="false" showErrorMessage="true" showInputMessage="false" sqref="B7" type="list">
      <formula1>Коды_платежей</formula1>
      <formula2>0</formula2>
    </dataValidation>
    <dataValidation allowBlank="true" error="Размерность поля - не более 70 символов!" errorStyle="stop" operator="lessThanOrEqual" prompt="Размерность поля - не более 70 символов." promptTitle="Необязательное поле" showDropDown="false" showErrorMessage="true" showInputMessage="true" sqref="B12" type="textLength">
      <formula1>70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CC00"/>
    <pageSetUpPr fitToPage="false"/>
  </sheetPr>
  <dimension ref="A1:IW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12890625" defaultRowHeight="14.65" customHeight="false" zeroHeight="false" outlineLevelRow="0" outlineLevelCol="0"/>
  <cols>
    <col collapsed="false" customWidth="true" hidden="false" outlineLevel="0" max="1" min="1" style="50" width="16.69"/>
    <col collapsed="false" customWidth="true" hidden="false" outlineLevel="0" max="2" min="2" style="50" width="19.27"/>
    <col collapsed="false" customWidth="true" hidden="false" outlineLevel="0" max="3" min="3" style="50" width="21.12"/>
    <col collapsed="false" customWidth="true" hidden="false" outlineLevel="0" max="4" min="4" style="51" width="25.7"/>
    <col collapsed="false" customWidth="true" hidden="false" outlineLevel="0" max="5" min="5" style="52" width="20.55"/>
    <col collapsed="false" customWidth="true" hidden="false" outlineLevel="0" max="7" min="6" style="52" width="17.69"/>
    <col collapsed="false" customWidth="true" hidden="false" outlineLevel="0" max="9" min="8" style="53" width="14.69"/>
    <col collapsed="false" customWidth="true" hidden="false" outlineLevel="0" max="10" min="10" style="54" width="18.41"/>
    <col collapsed="false" customWidth="false" hidden="false" outlineLevel="0" max="257" min="11" style="50" width="9.13"/>
  </cols>
  <sheetData>
    <row r="1" customFormat="false" ht="32.25" hidden="false" customHeight="true" outlineLevel="0" collapsed="false">
      <c r="A1" s="55" t="s">
        <v>42</v>
      </c>
      <c r="B1" s="55" t="s">
        <v>43</v>
      </c>
      <c r="C1" s="55" t="s">
        <v>44</v>
      </c>
      <c r="D1" s="55" t="s">
        <v>45</v>
      </c>
      <c r="E1" s="56" t="s">
        <v>46</v>
      </c>
      <c r="F1" s="57" t="s">
        <v>47</v>
      </c>
      <c r="G1" s="57" t="s">
        <v>48</v>
      </c>
      <c r="H1" s="58" t="s">
        <v>49</v>
      </c>
      <c r="I1" s="58" t="s">
        <v>50</v>
      </c>
      <c r="J1" s="59" t="s">
        <v>51</v>
      </c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0"/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/>
      <c r="CT1" s="60"/>
      <c r="CU1" s="60"/>
      <c r="CV1" s="60"/>
      <c r="CW1" s="60"/>
      <c r="CX1" s="60"/>
      <c r="CY1" s="60"/>
      <c r="CZ1" s="60"/>
      <c r="DA1" s="60"/>
      <c r="DB1" s="60"/>
      <c r="DC1" s="60"/>
      <c r="DD1" s="60"/>
      <c r="DE1" s="60"/>
      <c r="DF1" s="60"/>
      <c r="DG1" s="60"/>
      <c r="DH1" s="60"/>
      <c r="DI1" s="60"/>
      <c r="DJ1" s="60"/>
      <c r="DK1" s="60"/>
      <c r="DL1" s="60"/>
      <c r="DM1" s="60"/>
      <c r="DN1" s="60"/>
      <c r="DO1" s="60"/>
      <c r="DP1" s="60"/>
      <c r="DQ1" s="60"/>
      <c r="DR1" s="60"/>
      <c r="DS1" s="60"/>
      <c r="DT1" s="60"/>
      <c r="DU1" s="60"/>
      <c r="DV1" s="60"/>
      <c r="DW1" s="60"/>
      <c r="DX1" s="60"/>
      <c r="DY1" s="60"/>
      <c r="DZ1" s="60"/>
      <c r="EA1" s="60"/>
      <c r="EB1" s="60"/>
      <c r="EC1" s="60"/>
      <c r="ED1" s="60"/>
      <c r="EE1" s="60"/>
      <c r="EF1" s="60"/>
      <c r="EG1" s="60"/>
      <c r="EH1" s="60"/>
      <c r="EI1" s="60"/>
      <c r="EJ1" s="60"/>
      <c r="EK1" s="60"/>
      <c r="EL1" s="60"/>
      <c r="EM1" s="60"/>
      <c r="EN1" s="60"/>
      <c r="EO1" s="60"/>
      <c r="EP1" s="60"/>
      <c r="EQ1" s="60"/>
      <c r="ER1" s="60"/>
      <c r="ES1" s="60"/>
      <c r="ET1" s="60"/>
      <c r="EU1" s="60"/>
      <c r="EV1" s="60"/>
      <c r="EW1" s="60"/>
      <c r="EX1" s="60"/>
      <c r="EY1" s="60"/>
      <c r="EZ1" s="60"/>
      <c r="FA1" s="60"/>
      <c r="FB1" s="60"/>
      <c r="FC1" s="60"/>
      <c r="FD1" s="60"/>
      <c r="FE1" s="60"/>
      <c r="FF1" s="60"/>
      <c r="FG1" s="60"/>
      <c r="FH1" s="60"/>
      <c r="FI1" s="60"/>
      <c r="FJ1" s="60"/>
      <c r="FK1" s="60"/>
      <c r="FL1" s="60"/>
      <c r="FM1" s="60"/>
      <c r="FN1" s="60"/>
      <c r="FO1" s="60"/>
      <c r="FP1" s="60"/>
      <c r="FQ1" s="60"/>
      <c r="FR1" s="60"/>
      <c r="FS1" s="60"/>
      <c r="FT1" s="60"/>
      <c r="FU1" s="60"/>
      <c r="FV1" s="60"/>
      <c r="FW1" s="60"/>
      <c r="FX1" s="60"/>
      <c r="FY1" s="60"/>
      <c r="FZ1" s="60"/>
      <c r="GA1" s="60"/>
      <c r="GB1" s="60"/>
      <c r="GC1" s="60"/>
      <c r="GD1" s="60"/>
      <c r="GE1" s="60"/>
      <c r="GF1" s="60"/>
      <c r="GG1" s="60"/>
      <c r="GH1" s="60"/>
      <c r="GI1" s="60"/>
      <c r="GJ1" s="60"/>
      <c r="GK1" s="60"/>
      <c r="GL1" s="60"/>
      <c r="GM1" s="60"/>
      <c r="GN1" s="60"/>
      <c r="GO1" s="60"/>
      <c r="GP1" s="60"/>
      <c r="GQ1" s="60"/>
      <c r="GR1" s="60"/>
      <c r="GS1" s="60"/>
      <c r="GT1" s="60"/>
      <c r="GU1" s="60"/>
      <c r="GV1" s="60"/>
      <c r="GW1" s="60"/>
      <c r="GX1" s="60"/>
      <c r="GY1" s="60"/>
      <c r="GZ1" s="60"/>
      <c r="HA1" s="60"/>
      <c r="HB1" s="60"/>
      <c r="HC1" s="60"/>
      <c r="HD1" s="60"/>
      <c r="HE1" s="60"/>
      <c r="HF1" s="60"/>
      <c r="HG1" s="60"/>
      <c r="HH1" s="60"/>
      <c r="HI1" s="60"/>
      <c r="HJ1" s="60"/>
      <c r="HK1" s="60"/>
      <c r="HL1" s="60"/>
      <c r="HM1" s="60"/>
      <c r="HN1" s="60"/>
      <c r="HO1" s="60"/>
      <c r="HP1" s="60"/>
      <c r="HQ1" s="60"/>
      <c r="HR1" s="60"/>
      <c r="HS1" s="60"/>
      <c r="HT1" s="60"/>
      <c r="HU1" s="60"/>
      <c r="HV1" s="60"/>
      <c r="HW1" s="60"/>
      <c r="HX1" s="60"/>
      <c r="HY1" s="60"/>
      <c r="HZ1" s="60"/>
      <c r="IA1" s="60"/>
      <c r="IB1" s="60"/>
      <c r="IC1" s="60"/>
      <c r="ID1" s="60"/>
      <c r="IE1" s="60"/>
      <c r="IF1" s="60"/>
      <c r="IG1" s="60"/>
      <c r="IH1" s="60"/>
      <c r="II1" s="60"/>
      <c r="IJ1" s="60"/>
      <c r="IK1" s="60"/>
      <c r="IL1" s="60"/>
      <c r="IM1" s="60"/>
      <c r="IN1" s="60"/>
      <c r="IO1" s="60"/>
      <c r="IP1" s="60"/>
      <c r="IQ1" s="60"/>
      <c r="IR1" s="60"/>
      <c r="IS1" s="60"/>
      <c r="IT1" s="60"/>
      <c r="IU1" s="60"/>
      <c r="IV1" s="60"/>
      <c r="IW1" s="60"/>
    </row>
  </sheetData>
  <dataValidations count="10">
    <dataValidation allowBlank="true" error="Процент конвертации введен не верно!" errorStyle="stop" errorTitle="Ошибка!" operator="between" prompt="Введите процент конвертации на третий счет." promptTitle="Необязательное поле" showDropDown="false" showErrorMessage="true" showInputMessage="true" sqref="I1" type="decimal">
      <formula1>0</formula1>
      <formula2>100</formula2>
    </dataValidation>
    <dataValidation allowBlank="true" error="Процент конвертации указан не верно!" errorStyle="stop" errorTitle="Ошибка!" operator="between" prompt="Введите сумму конвертации на второй счет." promptTitle="Необязательное поле" showDropDown="false" showErrorMessage="true" showInputMessage="true" sqref="H1" type="decimal">
      <formula1>0</formula1>
      <formula2>100</formula2>
    </dataValidation>
    <dataValidation allowBlank="true" errorStyle="stop" operator="between" prompt="Введите сумму конвертации на третий счет." promptTitle="Необязательное поле" showDropDown="false" showErrorMessage="true" showInputMessage="true" sqref="G1" type="none">
      <formula1>0</formula1>
      <formula2>0</formula2>
    </dataValidation>
    <dataValidation allowBlank="true" errorStyle="stop" operator="between" prompt="Введите сумму конвертации на второй счет." promptTitle="Необязательное поле" showDropDown="false" showErrorMessage="true" showInputMessage="true" sqref="F1" type="none">
      <formula1>0</formula1>
      <formula2>0</formula2>
    </dataValidation>
    <dataValidation allowBlank="true" errorStyle="stop" operator="between" prompt="Введите сумму зачисления." promptTitle="Обязательное поле" showDropDown="false" showErrorMessage="true" showInputMessage="true" sqref="E1" type="none">
      <formula1>0</formula1>
      <formula2>0</formula2>
    </dataValidation>
    <dataValidation allowBlank="true" error="Номер счета должен состоять из 20 цифр!" errorStyle="stop" errorTitle="Ошибка!" operator="equal" prompt="Введите 20-значный номер счета." promptTitle="Обязательное поле" showDropDown="false" showErrorMessage="true" showInputMessage="false" sqref="D2:D1001" type="textLength">
      <formula1>20</formula1>
      <formula2>0</formula2>
    </dataValidation>
    <dataValidation allowBlank="true" errorStyle="stop" operator="equal" prompt="Введите 20-значный номер счета." promptTitle="Обязательное поле" showDropDown="false" showErrorMessage="false" showInputMessage="true" sqref="D1" type="textLength">
      <formula1>20</formula1>
      <formula2>0</formula2>
    </dataValidation>
    <dataValidation allowBlank="true" errorStyle="stop" operator="between" prompt="Введите фамилию." promptTitle="Обязательное поле" showDropDown="false" showErrorMessage="true" showInputMessage="true" sqref="A1" type="none">
      <formula1>0</formula1>
      <formula2>0</formula2>
    </dataValidation>
    <dataValidation allowBlank="true" errorStyle="stop" operator="between" prompt="Введите имя." promptTitle="Обязательное поле" showDropDown="false" showErrorMessage="true" showInputMessage="true" sqref="B1" type="none">
      <formula1>0</formula1>
      <formula2>0</formula2>
    </dataValidation>
    <dataValidation allowBlank="true" errorStyle="stop" operator="between" prompt="Введите отчество." promptTitle="Обязательное поле" showDropDown="false" showErrorMessage="true" showInputMessage="true" sqref="C1" type="non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7"/>
  <sheetViews>
    <sheetView showFormulas="false" showGridLines="true" showRowColHeaders="true" showZeros="true" rightToLeft="false" tabSelected="false" showOutlineSymbols="true" defaultGridColor="true" view="normal" topLeftCell="A90" colorId="64" zoomScale="80" zoomScaleNormal="80" zoomScalePageLayoutView="100" workbookViewId="0">
      <selection pane="topLeft" activeCell="B18" activeCellId="0" sqref="B18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2" min="2" style="0" width="27.41"/>
    <col collapsed="false" customWidth="true" hidden="false" outlineLevel="0" max="3" min="3" style="0" width="35.55"/>
    <col collapsed="false" customWidth="true" hidden="false" outlineLevel="0" max="4" min="4" style="0" width="29.13"/>
    <col collapsed="false" customWidth="true" hidden="false" outlineLevel="0" max="5" min="5" style="0" width="17.69"/>
    <col collapsed="false" customWidth="true" hidden="false" outlineLevel="0" max="7" min="6" style="0" width="14.69"/>
    <col collapsed="false" customWidth="true" hidden="false" outlineLevel="0" max="8" min="8" style="0" width="46.98"/>
    <col collapsed="false" customWidth="true" hidden="false" outlineLevel="0" max="10" min="10" style="0" width="46.41"/>
    <col collapsed="false" customWidth="true" hidden="false" outlineLevel="0" max="11" min="11" style="0" width="5.69"/>
  </cols>
  <sheetData>
    <row r="1" customFormat="false" ht="26.25" hidden="false" customHeight="true" outlineLevel="0" collapsed="false">
      <c r="A1" s="61" t="s">
        <v>52</v>
      </c>
      <c r="B1" s="62"/>
      <c r="C1" s="62"/>
      <c r="D1" s="62"/>
      <c r="E1" s="62"/>
      <c r="F1" s="62"/>
      <c r="G1" s="62"/>
      <c r="H1" s="62"/>
      <c r="I1" s="62"/>
      <c r="J1" s="62"/>
      <c r="K1" s="62"/>
    </row>
    <row r="2" customFormat="false" ht="13.5" hidden="false" customHeight="true" outlineLevel="0" collapsed="false">
      <c r="A2" s="63"/>
      <c r="B2" s="64"/>
      <c r="C2" s="64"/>
      <c r="D2" s="64"/>
      <c r="E2" s="64"/>
      <c r="F2" s="64"/>
      <c r="G2" s="64"/>
      <c r="H2" s="64"/>
      <c r="I2" s="64"/>
      <c r="J2" s="64"/>
      <c r="K2" s="64"/>
    </row>
    <row r="3" customFormat="false" ht="15" hidden="false" customHeight="false" outlineLevel="0" collapsed="false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</row>
    <row r="4" customFormat="false" ht="15.75" hidden="false" customHeight="false" outlineLevel="0" collapsed="false">
      <c r="A4" s="64"/>
      <c r="B4" s="64"/>
      <c r="C4" s="64"/>
      <c r="D4" s="64"/>
      <c r="E4" s="64"/>
      <c r="F4" s="64"/>
      <c r="G4" s="65" t="s">
        <v>0</v>
      </c>
      <c r="H4" s="64"/>
      <c r="I4" s="64"/>
      <c r="J4" s="64"/>
      <c r="K4" s="64"/>
    </row>
    <row r="5" customFormat="false" ht="15.75" hidden="false" customHeight="false" outlineLevel="0" collapsed="false">
      <c r="A5" s="64"/>
      <c r="B5" s="64"/>
      <c r="C5" s="64"/>
      <c r="D5" s="64"/>
      <c r="E5" s="64"/>
      <c r="F5" s="64"/>
      <c r="G5" s="66" t="s">
        <v>53</v>
      </c>
      <c r="H5" s="64"/>
      <c r="I5" s="64"/>
      <c r="J5" s="64"/>
      <c r="K5" s="64"/>
    </row>
    <row r="6" customFormat="false" ht="15.75" hidden="false" customHeight="false" outlineLevel="0" collapsed="false">
      <c r="A6" s="64"/>
      <c r="B6" s="64"/>
      <c r="C6" s="64"/>
      <c r="D6" s="64"/>
      <c r="E6" s="64"/>
      <c r="F6" s="67" t="s">
        <v>54</v>
      </c>
      <c r="G6" s="68" t="s">
        <v>4</v>
      </c>
      <c r="H6" s="64"/>
      <c r="I6" s="64"/>
      <c r="J6" s="64"/>
      <c r="K6" s="64"/>
    </row>
    <row r="7" customFormat="false" ht="15.75" hidden="false" customHeight="false" outlineLevel="0" collapsed="false">
      <c r="A7" s="64"/>
      <c r="B7" s="64"/>
      <c r="C7" s="64"/>
      <c r="D7" s="64"/>
      <c r="E7" s="69"/>
      <c r="F7" s="64"/>
      <c r="G7" s="64"/>
      <c r="H7" s="64"/>
      <c r="I7" s="64"/>
      <c r="J7" s="64"/>
      <c r="K7" s="64"/>
    </row>
    <row r="8" customFormat="false" ht="15.75" hidden="false" customHeight="false" outlineLevel="0" collapsed="false">
      <c r="A8" s="64"/>
      <c r="B8" s="64"/>
      <c r="C8" s="64"/>
      <c r="D8" s="70" t="s">
        <v>5</v>
      </c>
      <c r="E8" s="64"/>
      <c r="F8" s="64"/>
      <c r="G8" s="69"/>
      <c r="H8" s="64"/>
      <c r="I8" s="64"/>
      <c r="J8" s="64"/>
      <c r="K8" s="64"/>
    </row>
    <row r="9" customFormat="false" ht="15.75" hidden="false" customHeight="false" outlineLevel="0" collapsed="false">
      <c r="A9" s="64"/>
      <c r="B9" s="64"/>
      <c r="C9" s="64"/>
      <c r="D9" s="64"/>
      <c r="E9" s="69"/>
      <c r="F9" s="64"/>
      <c r="G9" s="64"/>
      <c r="H9" s="64"/>
      <c r="I9" s="64"/>
      <c r="J9" s="64"/>
      <c r="K9" s="64"/>
    </row>
    <row r="10" customFormat="false" ht="15.75" hidden="false" customHeight="false" outlineLevel="0" collapsed="false">
      <c r="A10" s="64"/>
      <c r="B10" s="71" t="s">
        <v>55</v>
      </c>
      <c r="C10" s="72"/>
      <c r="D10" s="64"/>
      <c r="E10" s="69"/>
      <c r="F10" s="64"/>
      <c r="G10" s="64"/>
      <c r="H10" s="64"/>
      <c r="I10" s="64"/>
      <c r="J10" s="64"/>
      <c r="K10" s="64"/>
    </row>
    <row r="11" customFormat="false" ht="15.75" hidden="false" customHeight="false" outlineLevel="0" collapsed="false">
      <c r="A11" s="64"/>
      <c r="B11" s="71" t="s">
        <v>8</v>
      </c>
      <c r="C11" s="64"/>
      <c r="D11" s="64"/>
      <c r="E11" s="69"/>
      <c r="F11" s="64"/>
      <c r="G11" s="64"/>
      <c r="H11" s="64"/>
      <c r="I11" s="64"/>
      <c r="J11" s="64"/>
      <c r="K11" s="64"/>
    </row>
    <row r="12" customFormat="false" ht="15.75" hidden="false" customHeight="false" outlineLevel="0" collapsed="false">
      <c r="A12" s="64"/>
      <c r="B12" s="71" t="s">
        <v>9</v>
      </c>
      <c r="C12" s="64"/>
      <c r="D12" s="64"/>
      <c r="E12" s="69"/>
      <c r="F12" s="64"/>
      <c r="G12" s="64"/>
      <c r="H12" s="64"/>
      <c r="I12" s="64"/>
      <c r="J12" s="64"/>
      <c r="K12" s="64"/>
    </row>
    <row r="13" customFormat="false" ht="15.75" hidden="false" customHeight="false" outlineLevel="0" collapsed="false">
      <c r="A13" s="64"/>
      <c r="B13" s="71" t="s">
        <v>56</v>
      </c>
      <c r="C13" s="64"/>
      <c r="D13" s="64"/>
      <c r="E13" s="69"/>
      <c r="F13" s="64"/>
      <c r="G13" s="64"/>
      <c r="H13" s="64"/>
      <c r="I13" s="64"/>
      <c r="J13" s="64"/>
      <c r="K13" s="64"/>
    </row>
    <row r="14" customFormat="false" ht="15.75" hidden="false" customHeight="false" outlineLevel="0" collapsed="false">
      <c r="A14" s="64"/>
      <c r="B14" s="71" t="s">
        <v>57</v>
      </c>
      <c r="C14" s="64"/>
      <c r="D14" s="64"/>
      <c r="E14" s="69"/>
      <c r="F14" s="64"/>
      <c r="G14" s="64"/>
      <c r="H14" s="64"/>
      <c r="I14" s="64"/>
      <c r="J14" s="64"/>
      <c r="K14" s="64"/>
    </row>
    <row r="15" customFormat="false" ht="18.75" hidden="false" customHeight="false" outlineLevel="0" collapsed="false">
      <c r="A15" s="64"/>
      <c r="B15" s="73"/>
      <c r="C15" s="64"/>
      <c r="D15" s="64"/>
      <c r="E15" s="69"/>
      <c r="F15" s="64"/>
      <c r="G15" s="64"/>
      <c r="H15" s="64"/>
      <c r="I15" s="64"/>
      <c r="J15" s="64"/>
      <c r="K15" s="64"/>
    </row>
    <row r="16" customFormat="false" ht="18.75" hidden="false" customHeight="false" outlineLevel="0" collapsed="false">
      <c r="A16" s="64"/>
      <c r="B16" s="64"/>
      <c r="C16" s="64"/>
      <c r="D16" s="64"/>
      <c r="E16" s="64"/>
      <c r="F16" s="74" t="s">
        <v>58</v>
      </c>
      <c r="G16" s="64"/>
      <c r="H16" s="64"/>
      <c r="I16" s="64"/>
      <c r="J16" s="64"/>
      <c r="K16" s="64"/>
    </row>
    <row r="17" customFormat="false" ht="31.5" hidden="false" customHeight="false" outlineLevel="0" collapsed="false">
      <c r="A17" s="64"/>
      <c r="B17" s="75" t="s">
        <v>13</v>
      </c>
      <c r="C17" s="75" t="s">
        <v>14</v>
      </c>
      <c r="D17" s="75" t="s">
        <v>15</v>
      </c>
      <c r="E17" s="75" t="s">
        <v>16</v>
      </c>
      <c r="F17" s="64"/>
      <c r="G17" s="64"/>
      <c r="H17" s="64"/>
      <c r="I17" s="64"/>
      <c r="J17" s="64"/>
      <c r="K17" s="64"/>
    </row>
    <row r="18" customFormat="false" ht="18.75" hidden="false" customHeight="false" outlineLevel="0" collapsed="false">
      <c r="A18" s="64"/>
      <c r="B18" s="76" t="n">
        <v>1</v>
      </c>
      <c r="C18" s="77"/>
      <c r="D18" s="78"/>
      <c r="E18" s="78"/>
      <c r="F18" s="64"/>
      <c r="G18" s="64"/>
      <c r="H18" s="64"/>
      <c r="I18" s="64"/>
      <c r="J18" s="64"/>
      <c r="K18" s="64"/>
    </row>
    <row r="19" customFormat="false" ht="18.75" hidden="false" customHeight="false" outlineLevel="0" collapsed="false">
      <c r="A19" s="64"/>
      <c r="B19" s="76" t="n">
        <v>2</v>
      </c>
      <c r="C19" s="77"/>
      <c r="D19" s="78"/>
      <c r="E19" s="78"/>
      <c r="F19" s="64"/>
      <c r="G19" s="64"/>
      <c r="H19" s="64"/>
      <c r="I19" s="64"/>
      <c r="J19" s="64"/>
      <c r="K19" s="64"/>
    </row>
    <row r="20" customFormat="false" ht="18.75" hidden="false" customHeight="false" outlineLevel="0" collapsed="false">
      <c r="A20" s="64"/>
      <c r="B20" s="79"/>
      <c r="C20" s="79"/>
      <c r="D20" s="80"/>
      <c r="E20" s="81"/>
      <c r="F20" s="79"/>
      <c r="G20" s="82"/>
      <c r="H20" s="64"/>
      <c r="I20" s="64"/>
      <c r="J20" s="64"/>
      <c r="K20" s="64"/>
    </row>
    <row r="21" customFormat="false" ht="15.75" hidden="false" customHeight="false" outlineLevel="0" collapsed="false">
      <c r="A21" s="64"/>
      <c r="B21" s="64" t="s">
        <v>17</v>
      </c>
      <c r="C21" s="64"/>
      <c r="D21" s="64"/>
      <c r="E21" s="69"/>
      <c r="F21" s="64"/>
      <c r="G21" s="64"/>
      <c r="H21" s="64"/>
      <c r="I21" s="64"/>
      <c r="J21" s="64"/>
      <c r="K21" s="64"/>
    </row>
    <row r="22" customFormat="false" ht="15.75" hidden="false" customHeight="false" outlineLevel="0" collapsed="false">
      <c r="A22" s="64"/>
      <c r="B22" s="68" t="s">
        <v>18</v>
      </c>
      <c r="C22" s="64"/>
      <c r="D22" s="64"/>
      <c r="E22" s="69"/>
      <c r="F22" s="64"/>
      <c r="G22" s="64"/>
      <c r="H22" s="64"/>
      <c r="I22" s="64"/>
      <c r="J22" s="64"/>
      <c r="K22" s="64"/>
    </row>
    <row r="23" customFormat="false" ht="15.75" hidden="false" customHeight="false" outlineLevel="0" collapsed="false">
      <c r="A23" s="64"/>
      <c r="B23" s="64" t="s">
        <v>19</v>
      </c>
      <c r="C23" s="64"/>
      <c r="D23" s="64"/>
      <c r="E23" s="64"/>
      <c r="F23" s="69"/>
      <c r="G23" s="64"/>
      <c r="H23" s="64"/>
      <c r="I23" s="64"/>
      <c r="J23" s="64"/>
      <c r="K23" s="64"/>
    </row>
    <row r="24" customFormat="false" ht="15.75" hidden="false" customHeight="false" outlineLevel="0" collapsed="false">
      <c r="A24" s="64"/>
      <c r="B24" s="64"/>
      <c r="C24" s="64"/>
      <c r="D24" s="64"/>
      <c r="E24" s="83"/>
      <c r="F24" s="64"/>
      <c r="G24" s="64"/>
      <c r="H24" s="64"/>
      <c r="I24" s="64"/>
      <c r="J24" s="64"/>
      <c r="K24" s="64"/>
    </row>
    <row r="25" customFormat="false" ht="15.75" hidden="false" customHeight="false" outlineLevel="0" collapsed="false">
      <c r="A25" s="64"/>
      <c r="B25" s="64"/>
      <c r="C25" s="64"/>
      <c r="D25" s="64"/>
      <c r="E25" s="83"/>
      <c r="F25" s="64"/>
      <c r="G25" s="64"/>
      <c r="H25" s="64"/>
      <c r="I25" s="64"/>
      <c r="J25" s="64"/>
      <c r="K25" s="64"/>
    </row>
    <row r="26" customFormat="false" ht="15.75" hidden="false" customHeight="false" outlineLevel="0" collapsed="false">
      <c r="A26" s="64"/>
      <c r="B26" s="71" t="s">
        <v>20</v>
      </c>
      <c r="C26" s="64"/>
      <c r="D26" s="64"/>
      <c r="E26" s="64"/>
      <c r="F26" s="64"/>
      <c r="G26" s="64"/>
      <c r="H26" s="64"/>
      <c r="I26" s="64"/>
      <c r="J26" s="64"/>
      <c r="K26" s="64"/>
    </row>
    <row r="27" customFormat="false" ht="15.75" hidden="false" customHeight="false" outlineLevel="0" collapsed="false">
      <c r="A27" s="64"/>
      <c r="B27" s="64"/>
      <c r="C27" s="64"/>
      <c r="D27" s="64"/>
      <c r="E27" s="83"/>
      <c r="F27" s="64"/>
      <c r="G27" s="64"/>
      <c r="H27" s="64"/>
      <c r="I27" s="64"/>
      <c r="J27" s="64"/>
      <c r="K27" s="64"/>
    </row>
    <row r="28" customFormat="false" ht="15.75" hidden="false" customHeight="false" outlineLevel="0" collapsed="false">
      <c r="A28" s="64"/>
      <c r="B28" s="64"/>
      <c r="C28" s="64"/>
      <c r="D28" s="64"/>
      <c r="E28" s="69"/>
      <c r="F28" s="84"/>
      <c r="G28" s="84"/>
      <c r="H28" s="84"/>
      <c r="I28" s="84"/>
      <c r="J28" s="84"/>
      <c r="K28" s="84"/>
    </row>
    <row r="29" customFormat="false" ht="15.75" hidden="false" customHeight="false" outlineLevel="0" collapsed="false">
      <c r="A29" s="64"/>
      <c r="B29" s="85" t="s">
        <v>21</v>
      </c>
      <c r="C29" s="64"/>
      <c r="D29" s="86" t="s">
        <v>59</v>
      </c>
      <c r="E29" s="86"/>
      <c r="F29" s="86"/>
      <c r="G29" s="84"/>
      <c r="H29" s="84"/>
      <c r="I29" s="84"/>
      <c r="J29" s="84"/>
      <c r="K29" s="84"/>
    </row>
    <row r="30" customFormat="false" ht="18.75" hidden="false" customHeight="false" outlineLevel="0" collapsed="false">
      <c r="A30" s="64"/>
      <c r="B30" s="84"/>
      <c r="C30" s="64"/>
      <c r="D30" s="72"/>
      <c r="E30" s="87" t="s">
        <v>23</v>
      </c>
      <c r="F30" s="87" t="s">
        <v>24</v>
      </c>
      <c r="G30" s="64"/>
      <c r="H30" s="64"/>
      <c r="I30" s="64"/>
      <c r="J30" s="64"/>
      <c r="K30" s="84"/>
    </row>
    <row r="31" customFormat="false" ht="15.75" hidden="false" customHeight="false" outlineLevel="0" collapsed="false">
      <c r="A31" s="64"/>
      <c r="B31" s="84"/>
      <c r="C31" s="64"/>
      <c r="D31" s="86" t="s">
        <v>60</v>
      </c>
      <c r="E31" s="86"/>
      <c r="F31" s="86"/>
      <c r="G31" s="64"/>
      <c r="H31" s="64"/>
      <c r="I31" s="64"/>
      <c r="J31" s="64"/>
      <c r="K31" s="84"/>
    </row>
    <row r="32" customFormat="false" ht="18.75" hidden="false" customHeight="false" outlineLevel="0" collapsed="false">
      <c r="A32" s="64"/>
      <c r="B32" s="84"/>
      <c r="C32" s="64"/>
      <c r="D32" s="84"/>
      <c r="E32" s="87" t="s">
        <v>23</v>
      </c>
      <c r="F32" s="87" t="s">
        <v>24</v>
      </c>
      <c r="G32" s="64"/>
      <c r="H32" s="64"/>
      <c r="I32" s="64"/>
      <c r="J32" s="64"/>
      <c r="K32" s="84"/>
    </row>
    <row r="33" customFormat="false" ht="15" hidden="false" customHeight="false" outlineLevel="0" collapsed="false">
      <c r="A33" s="64"/>
      <c r="B33" s="64"/>
      <c r="C33" s="64"/>
      <c r="D33" s="64"/>
      <c r="E33" s="64"/>
      <c r="F33" s="64"/>
      <c r="G33" s="84"/>
      <c r="H33" s="84"/>
      <c r="I33" s="84"/>
      <c r="J33" s="84"/>
      <c r="K33" s="84"/>
    </row>
    <row r="34" customFormat="false" ht="15" hidden="false" customHeight="false" outlineLevel="0" collapsed="false">
      <c r="A34" s="64"/>
      <c r="B34" s="64"/>
      <c r="C34" s="64"/>
      <c r="D34" s="64"/>
      <c r="E34" s="84"/>
      <c r="F34" s="84"/>
      <c r="G34" s="84"/>
      <c r="H34" s="84"/>
      <c r="I34" s="84"/>
      <c r="J34" s="84"/>
      <c r="K34" s="84"/>
    </row>
    <row r="35" customFormat="false" ht="26.25" hidden="false" customHeight="true" outlineLevel="0" collapsed="false">
      <c r="A35" s="61" t="s">
        <v>61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</row>
    <row r="36" customFormat="false" ht="15" hidden="false" customHeight="false" outlineLevel="0" collapsed="false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</row>
    <row r="37" customFormat="false" ht="15.75" hidden="false" customHeight="false" outlineLevel="0" collapsed="false">
      <c r="A37" s="64"/>
      <c r="B37" s="88" t="s">
        <v>26</v>
      </c>
      <c r="C37" s="89" t="s">
        <v>62</v>
      </c>
      <c r="D37" s="90" t="b">
        <f aca="false">FALSE()</f>
        <v>0</v>
      </c>
      <c r="E37" s="91"/>
      <c r="F37" s="92"/>
      <c r="G37" s="92"/>
      <c r="H37" s="92"/>
      <c r="I37" s="92"/>
      <c r="J37" s="64"/>
      <c r="K37" s="64"/>
    </row>
    <row r="38" customFormat="false" ht="15.75" hidden="false" customHeight="false" outlineLevel="0" collapsed="false">
      <c r="A38" s="64"/>
      <c r="B38" s="88" t="s">
        <v>28</v>
      </c>
      <c r="C38" s="89" t="s">
        <v>63</v>
      </c>
      <c r="D38" s="90" t="b">
        <f aca="false">FALSE()</f>
        <v>0</v>
      </c>
      <c r="E38" s="91"/>
      <c r="F38" s="92"/>
      <c r="G38" s="92"/>
      <c r="H38" s="92"/>
      <c r="I38" s="92"/>
      <c r="J38" s="64"/>
      <c r="K38" s="64"/>
    </row>
    <row r="39" customFormat="false" ht="15" hidden="false" customHeight="false" outlineLevel="0" collapsed="false">
      <c r="A39" s="64"/>
      <c r="B39" s="93" t="s">
        <v>30</v>
      </c>
      <c r="C39" s="94"/>
      <c r="D39" s="90"/>
      <c r="E39" s="92"/>
      <c r="F39" s="92"/>
      <c r="G39" s="92"/>
      <c r="H39" s="92"/>
      <c r="I39" s="92"/>
      <c r="J39" s="95"/>
      <c r="K39" s="95"/>
    </row>
    <row r="40" customFormat="false" ht="15" hidden="false" customHeight="false" outlineLevel="0" collapsed="false">
      <c r="A40" s="64"/>
      <c r="B40" s="93" t="s">
        <v>31</v>
      </c>
      <c r="C40" s="94"/>
      <c r="D40" s="90"/>
      <c r="E40" s="92"/>
      <c r="F40" s="92"/>
      <c r="G40" s="92"/>
      <c r="H40" s="92"/>
      <c r="I40" s="92"/>
      <c r="J40" s="95"/>
      <c r="K40" s="95"/>
    </row>
    <row r="41" customFormat="false" ht="15" hidden="false" customHeight="false" outlineLevel="0" collapsed="false">
      <c r="A41" s="64"/>
      <c r="B41" s="93" t="s">
        <v>32</v>
      </c>
      <c r="C41" s="96"/>
      <c r="D41" s="90"/>
      <c r="E41" s="92"/>
      <c r="F41" s="92"/>
      <c r="G41" s="92"/>
      <c r="H41" s="92"/>
      <c r="I41" s="92"/>
      <c r="J41" s="95"/>
      <c r="K41" s="95"/>
    </row>
    <row r="42" customFormat="false" ht="15.75" hidden="false" customHeight="false" outlineLevel="0" collapsed="false">
      <c r="A42" s="64"/>
      <c r="B42" s="97" t="s">
        <v>33</v>
      </c>
      <c r="C42" s="96" t="n">
        <v>43009</v>
      </c>
      <c r="D42" s="90" t="b">
        <f aca="false">FALSE()</f>
        <v>0</v>
      </c>
      <c r="E42" s="98"/>
      <c r="F42" s="92"/>
      <c r="G42" s="92"/>
      <c r="H42" s="92"/>
      <c r="I42" s="92"/>
      <c r="J42" s="95"/>
      <c r="K42" s="95"/>
    </row>
    <row r="43" customFormat="false" ht="15.75" hidden="false" customHeight="false" outlineLevel="0" collapsed="false">
      <c r="A43" s="64"/>
      <c r="B43" s="97" t="s">
        <v>35</v>
      </c>
      <c r="C43" s="99" t="n">
        <v>1</v>
      </c>
      <c r="D43" s="90" t="b">
        <f aca="false">FALSE()</f>
        <v>0</v>
      </c>
      <c r="E43" s="98"/>
      <c r="F43" s="92"/>
      <c r="G43" s="92"/>
      <c r="H43" s="100" t="s">
        <v>64</v>
      </c>
      <c r="I43" s="100" t="s">
        <v>65</v>
      </c>
      <c r="J43" s="95"/>
      <c r="K43" s="95"/>
    </row>
    <row r="44" customFormat="false" ht="15.75" hidden="false" customHeight="false" outlineLevel="0" collapsed="false">
      <c r="A44" s="64"/>
      <c r="B44" s="97" t="s">
        <v>36</v>
      </c>
      <c r="C44" s="101" t="s">
        <v>37</v>
      </c>
      <c r="D44" s="90" t="b">
        <f aca="false">FALSE()</f>
        <v>0</v>
      </c>
      <c r="E44" s="98"/>
      <c r="F44" s="92"/>
      <c r="G44" s="92"/>
      <c r="H44" s="102" t="s">
        <v>66</v>
      </c>
      <c r="I44" s="103" t="n">
        <v>1</v>
      </c>
      <c r="J44" s="95"/>
      <c r="K44" s="95"/>
    </row>
    <row r="45" customFormat="false" ht="15" hidden="false" customHeight="false" outlineLevel="0" collapsed="false">
      <c r="A45" s="64"/>
      <c r="B45" s="104" t="s">
        <v>38</v>
      </c>
      <c r="C45" s="99"/>
      <c r="D45" s="90"/>
      <c r="E45" s="92"/>
      <c r="F45" s="92"/>
      <c r="G45" s="92"/>
      <c r="H45" s="102" t="s">
        <v>67</v>
      </c>
      <c r="I45" s="103" t="n">
        <v>2</v>
      </c>
      <c r="J45" s="95"/>
      <c r="K45" s="95"/>
    </row>
    <row r="46" customFormat="false" ht="15" hidden="false" customHeight="false" outlineLevel="0" collapsed="false">
      <c r="A46" s="64"/>
      <c r="B46" s="104" t="s">
        <v>39</v>
      </c>
      <c r="C46" s="99"/>
      <c r="D46" s="90"/>
      <c r="E46" s="92"/>
      <c r="F46" s="92"/>
      <c r="G46" s="92"/>
      <c r="H46" s="102" t="s">
        <v>68</v>
      </c>
      <c r="I46" s="103" t="n">
        <v>3</v>
      </c>
      <c r="J46" s="95"/>
      <c r="K46" s="95"/>
    </row>
    <row r="47" customFormat="false" ht="15" hidden="false" customHeight="false" outlineLevel="0" collapsed="false">
      <c r="A47" s="64"/>
      <c r="B47" s="105" t="s">
        <v>40</v>
      </c>
      <c r="C47" s="99" t="s">
        <v>69</v>
      </c>
      <c r="D47" s="90"/>
      <c r="E47" s="92"/>
      <c r="F47" s="92"/>
      <c r="G47" s="92"/>
      <c r="H47" s="102" t="s">
        <v>70</v>
      </c>
      <c r="I47" s="103" t="n">
        <v>4</v>
      </c>
      <c r="J47" s="95"/>
      <c r="K47" s="95"/>
    </row>
    <row r="48" customFormat="false" ht="25.5" hidden="false" customHeight="false" outlineLevel="0" collapsed="false">
      <c r="A48" s="64"/>
      <c r="B48" s="46" t="s">
        <v>41</v>
      </c>
      <c r="C48" s="42"/>
      <c r="D48" s="90"/>
      <c r="E48" s="92"/>
      <c r="F48" s="92"/>
      <c r="G48" s="92"/>
      <c r="H48" s="102" t="s">
        <v>71</v>
      </c>
      <c r="I48" s="103" t="n">
        <v>5</v>
      </c>
      <c r="J48" s="95"/>
      <c r="K48" s="95"/>
    </row>
    <row r="49" customFormat="false" ht="15" hidden="false" customHeight="false" outlineLevel="0" collapsed="false">
      <c r="A49" s="64"/>
      <c r="B49" s="92"/>
      <c r="C49" s="92"/>
      <c r="D49" s="90"/>
      <c r="E49" s="92"/>
      <c r="F49" s="92"/>
      <c r="G49" s="92"/>
      <c r="H49" s="102" t="s">
        <v>72</v>
      </c>
      <c r="I49" s="103" t="n">
        <v>6</v>
      </c>
      <c r="J49" s="95"/>
      <c r="K49" s="95"/>
    </row>
    <row r="50" customFormat="false" ht="15" hidden="false" customHeight="false" outlineLevel="0" collapsed="false">
      <c r="A50" s="64"/>
      <c r="B50" s="92"/>
      <c r="C50" s="92"/>
      <c r="D50" s="90"/>
      <c r="E50" s="92"/>
      <c r="F50" s="92"/>
      <c r="G50" s="92"/>
      <c r="H50" s="102" t="s">
        <v>73</v>
      </c>
      <c r="I50" s="103" t="n">
        <v>8</v>
      </c>
      <c r="J50" s="95"/>
      <c r="K50" s="95"/>
    </row>
    <row r="51" customFormat="false" ht="15" hidden="false" customHeight="false" outlineLevel="0" collapsed="false">
      <c r="A51" s="64"/>
      <c r="B51" s="92"/>
      <c r="C51" s="92"/>
      <c r="D51" s="92"/>
      <c r="E51" s="92"/>
      <c r="F51" s="92"/>
      <c r="G51" s="92"/>
      <c r="H51" s="102" t="s">
        <v>74</v>
      </c>
      <c r="I51" s="103" t="n">
        <v>9</v>
      </c>
      <c r="J51" s="95"/>
      <c r="K51" s="95"/>
    </row>
    <row r="52" customFormat="false" ht="15" hidden="false" customHeight="false" outlineLevel="0" collapsed="false">
      <c r="A52" s="64"/>
      <c r="B52" s="92"/>
      <c r="C52" s="92"/>
      <c r="D52" s="92"/>
      <c r="E52" s="92"/>
      <c r="F52" s="92"/>
      <c r="G52" s="92"/>
      <c r="H52" s="102" t="s">
        <v>75</v>
      </c>
      <c r="I52" s="103" t="n">
        <v>10</v>
      </c>
      <c r="J52" s="95"/>
      <c r="K52" s="95"/>
    </row>
    <row r="53" customFormat="false" ht="15" hidden="false" customHeight="false" outlineLevel="0" collapsed="false">
      <c r="A53" s="64"/>
      <c r="B53" s="92"/>
      <c r="C53" s="92"/>
      <c r="D53" s="92"/>
      <c r="E53" s="92"/>
      <c r="F53" s="92"/>
      <c r="G53" s="92"/>
      <c r="H53" s="102" t="s">
        <v>76</v>
      </c>
      <c r="I53" s="103" t="n">
        <v>11</v>
      </c>
      <c r="J53" s="95"/>
      <c r="K53" s="95"/>
    </row>
    <row r="54" customFormat="false" ht="15" hidden="false" customHeight="false" outlineLevel="0" collapsed="false">
      <c r="A54" s="64"/>
      <c r="B54" s="92"/>
      <c r="C54" s="92"/>
      <c r="D54" s="92"/>
      <c r="E54" s="92"/>
      <c r="F54" s="92"/>
      <c r="G54" s="92"/>
      <c r="H54" s="102" t="s">
        <v>77</v>
      </c>
      <c r="I54" s="103" t="n">
        <v>95</v>
      </c>
      <c r="J54" s="95"/>
      <c r="K54" s="95"/>
    </row>
    <row r="55" customFormat="false" ht="15" hidden="false" customHeight="false" outlineLevel="0" collapsed="false">
      <c r="A55" s="64"/>
      <c r="B55" s="92"/>
      <c r="C55" s="92"/>
      <c r="D55" s="92"/>
      <c r="E55" s="92"/>
      <c r="F55" s="92"/>
      <c r="G55" s="92"/>
      <c r="H55" s="102" t="s">
        <v>78</v>
      </c>
      <c r="I55" s="103" t="n">
        <v>96</v>
      </c>
      <c r="J55" s="95"/>
      <c r="K55" s="95"/>
    </row>
    <row r="56" customFormat="false" ht="15" hidden="false" customHeight="false" outlineLevel="0" collapsed="false">
      <c r="A56" s="64"/>
      <c r="B56" s="92"/>
      <c r="C56" s="92"/>
      <c r="D56" s="92"/>
      <c r="E56" s="92"/>
      <c r="F56" s="92"/>
      <c r="G56" s="92"/>
      <c r="H56" s="102" t="s">
        <v>79</v>
      </c>
      <c r="I56" s="103" t="n">
        <v>97</v>
      </c>
      <c r="J56" s="95"/>
      <c r="K56" s="95"/>
    </row>
    <row r="57" customFormat="false" ht="15" hidden="false" customHeight="false" outlineLevel="0" collapsed="false">
      <c r="A57" s="64"/>
      <c r="B57" s="92"/>
      <c r="C57" s="92"/>
      <c r="D57" s="92"/>
      <c r="E57" s="92"/>
      <c r="F57" s="92"/>
      <c r="G57" s="92"/>
      <c r="H57" s="102" t="s">
        <v>80</v>
      </c>
      <c r="I57" s="103" t="n">
        <v>99</v>
      </c>
      <c r="J57" s="95"/>
      <c r="K57" s="95"/>
    </row>
    <row r="58" customFormat="false" ht="15" hidden="false" customHeight="false" outlineLevel="0" collapsed="false">
      <c r="A58" s="64"/>
      <c r="B58" s="92"/>
      <c r="C58" s="92"/>
      <c r="D58" s="92"/>
      <c r="E58" s="92"/>
      <c r="F58" s="92"/>
      <c r="G58" s="92"/>
      <c r="H58" s="102" t="s">
        <v>81</v>
      </c>
      <c r="I58" s="103" t="n">
        <v>100</v>
      </c>
      <c r="J58" s="95"/>
      <c r="K58" s="95"/>
    </row>
    <row r="59" customFormat="false" ht="15" hidden="false" customHeight="false" outlineLevel="0" collapsed="false">
      <c r="A59" s="64"/>
      <c r="B59" s="92"/>
      <c r="C59" s="92"/>
      <c r="D59" s="92"/>
      <c r="E59" s="92"/>
      <c r="F59" s="92"/>
      <c r="G59" s="92"/>
      <c r="H59" s="102" t="s">
        <v>82</v>
      </c>
      <c r="I59" s="103" t="n">
        <v>101</v>
      </c>
      <c r="J59" s="95"/>
      <c r="K59" s="95"/>
    </row>
    <row r="60" customFormat="false" ht="15" hidden="false" customHeight="false" outlineLevel="0" collapsed="false">
      <c r="A60" s="64"/>
      <c r="B60" s="92"/>
      <c r="C60" s="92"/>
      <c r="D60" s="92"/>
      <c r="E60" s="92"/>
      <c r="F60" s="92"/>
      <c r="G60" s="92"/>
      <c r="H60" s="102" t="s">
        <v>83</v>
      </c>
      <c r="I60" s="103" t="n">
        <v>102</v>
      </c>
      <c r="J60" s="95"/>
      <c r="K60" s="95"/>
    </row>
    <row r="61" customFormat="false" ht="15" hidden="false" customHeight="false" outlineLevel="0" collapsed="false">
      <c r="A61" s="64"/>
      <c r="B61" s="92"/>
      <c r="C61" s="92"/>
      <c r="D61" s="92"/>
      <c r="E61" s="92"/>
      <c r="F61" s="92"/>
      <c r="G61" s="92"/>
      <c r="H61" s="102" t="s">
        <v>84</v>
      </c>
      <c r="I61" s="103" t="n">
        <v>104</v>
      </c>
      <c r="J61" s="95"/>
      <c r="K61" s="95"/>
    </row>
    <row r="62" customFormat="false" ht="15" hidden="false" customHeight="false" outlineLevel="0" collapsed="false">
      <c r="A62" s="64"/>
      <c r="B62" s="92"/>
      <c r="C62" s="92"/>
      <c r="D62" s="92"/>
      <c r="E62" s="92"/>
      <c r="F62" s="92"/>
      <c r="G62" s="92"/>
      <c r="H62" s="102" t="s">
        <v>85</v>
      </c>
      <c r="I62" s="103" t="n">
        <v>105</v>
      </c>
      <c r="J62" s="95"/>
      <c r="K62" s="95"/>
    </row>
    <row r="63" customFormat="false" ht="15" hidden="false" customHeight="false" outlineLevel="0" collapsed="false">
      <c r="A63" s="64"/>
      <c r="B63" s="92"/>
      <c r="C63" s="92"/>
      <c r="D63" s="92"/>
      <c r="E63" s="92"/>
      <c r="F63" s="92"/>
      <c r="G63" s="92"/>
      <c r="H63" s="102" t="s">
        <v>86</v>
      </c>
      <c r="I63" s="103" t="n">
        <v>106</v>
      </c>
      <c r="J63" s="95"/>
      <c r="K63" s="95"/>
    </row>
    <row r="64" customFormat="false" ht="15" hidden="false" customHeight="false" outlineLevel="0" collapsed="false">
      <c r="A64" s="64"/>
      <c r="B64" s="92"/>
      <c r="C64" s="92"/>
      <c r="D64" s="92"/>
      <c r="E64" s="92"/>
      <c r="F64" s="92"/>
      <c r="G64" s="92"/>
      <c r="H64" s="102" t="s">
        <v>87</v>
      </c>
      <c r="I64" s="103" t="n">
        <v>107</v>
      </c>
      <c r="J64" s="95"/>
      <c r="K64" s="95"/>
    </row>
    <row r="65" customFormat="false" ht="15" hidden="false" customHeight="false" outlineLevel="0" collapsed="false">
      <c r="A65" s="64"/>
      <c r="B65" s="92"/>
      <c r="C65" s="92"/>
      <c r="D65" s="92"/>
      <c r="E65" s="92"/>
      <c r="F65" s="92"/>
      <c r="G65" s="92"/>
      <c r="H65" s="102" t="s">
        <v>88</v>
      </c>
      <c r="I65" s="103" t="n">
        <v>108</v>
      </c>
      <c r="J65" s="95"/>
      <c r="K65" s="95"/>
    </row>
    <row r="66" customFormat="false" ht="15" hidden="false" customHeight="false" outlineLevel="0" collapsed="false">
      <c r="A66" s="64"/>
      <c r="B66" s="92"/>
      <c r="C66" s="92"/>
      <c r="D66" s="92"/>
      <c r="E66" s="92"/>
      <c r="F66" s="92"/>
      <c r="G66" s="92"/>
      <c r="H66" s="102" t="s">
        <v>89</v>
      </c>
      <c r="I66" s="103" t="n">
        <v>109</v>
      </c>
      <c r="J66" s="95"/>
      <c r="K66" s="95"/>
    </row>
    <row r="67" customFormat="false" ht="15" hidden="false" customHeight="false" outlineLevel="0" collapsed="false">
      <c r="A67" s="64"/>
      <c r="B67" s="92"/>
      <c r="C67" s="92"/>
      <c r="D67" s="92"/>
      <c r="E67" s="92"/>
      <c r="F67" s="92"/>
      <c r="G67" s="92"/>
      <c r="H67" s="102" t="s">
        <v>90</v>
      </c>
      <c r="I67" s="103" t="n">
        <v>110</v>
      </c>
      <c r="J67" s="95"/>
      <c r="K67" s="95"/>
    </row>
    <row r="68" customFormat="false" ht="15" hidden="false" customHeight="false" outlineLevel="0" collapsed="false">
      <c r="A68" s="64"/>
      <c r="B68" s="92"/>
      <c r="C68" s="92"/>
      <c r="D68" s="92"/>
      <c r="E68" s="92"/>
      <c r="F68" s="92"/>
      <c r="G68" s="92"/>
      <c r="H68" s="102" t="s">
        <v>91</v>
      </c>
      <c r="I68" s="103" t="n">
        <v>111</v>
      </c>
      <c r="J68" s="95"/>
      <c r="K68" s="95"/>
    </row>
    <row r="69" customFormat="false" ht="15" hidden="false" customHeight="false" outlineLevel="0" collapsed="false">
      <c r="A69" s="64"/>
      <c r="B69" s="92"/>
      <c r="C69" s="92"/>
      <c r="D69" s="92"/>
      <c r="E69" s="92"/>
      <c r="F69" s="92"/>
      <c r="G69" s="92"/>
      <c r="H69" s="102" t="s">
        <v>92</v>
      </c>
      <c r="I69" s="103" t="n">
        <v>112</v>
      </c>
      <c r="J69" s="95"/>
      <c r="K69" s="95"/>
    </row>
    <row r="70" customFormat="false" ht="15" hidden="false" customHeight="false" outlineLevel="0" collapsed="false">
      <c r="A70" s="64"/>
      <c r="B70" s="92"/>
      <c r="C70" s="92"/>
      <c r="D70" s="92"/>
      <c r="E70" s="92"/>
      <c r="F70" s="92"/>
      <c r="G70" s="92"/>
      <c r="H70" s="102" t="s">
        <v>93</v>
      </c>
      <c r="I70" s="103" t="n">
        <v>264</v>
      </c>
      <c r="J70" s="95"/>
      <c r="K70" s="95"/>
    </row>
    <row r="71" customFormat="false" ht="15" hidden="false" customHeight="false" outlineLevel="0" collapsed="false">
      <c r="A71" s="64"/>
      <c r="B71" s="92"/>
      <c r="C71" s="92"/>
      <c r="D71" s="92"/>
      <c r="E71" s="92"/>
      <c r="F71" s="92"/>
      <c r="G71" s="92"/>
      <c r="H71" s="102" t="s">
        <v>94</v>
      </c>
      <c r="I71" s="103" t="n">
        <v>265</v>
      </c>
      <c r="J71" s="95"/>
      <c r="K71" s="95"/>
    </row>
    <row r="72" customFormat="false" ht="15" hidden="false" customHeight="false" outlineLevel="0" collapsed="false">
      <c r="A72" s="64"/>
      <c r="B72" s="92"/>
      <c r="C72" s="92"/>
      <c r="D72" s="92"/>
      <c r="E72" s="92"/>
      <c r="F72" s="92"/>
      <c r="G72" s="92"/>
      <c r="H72" s="102" t="s">
        <v>95</v>
      </c>
      <c r="I72" s="103" t="n">
        <v>266</v>
      </c>
      <c r="J72" s="95"/>
      <c r="K72" s="95"/>
    </row>
    <row r="73" customFormat="false" ht="15" hidden="false" customHeight="false" outlineLevel="0" collapsed="false">
      <c r="A73" s="64"/>
      <c r="B73" s="92"/>
      <c r="C73" s="92"/>
      <c r="D73" s="92"/>
      <c r="E73" s="92"/>
      <c r="F73" s="92"/>
      <c r="G73" s="92"/>
      <c r="H73" s="102" t="s">
        <v>96</v>
      </c>
      <c r="I73" s="103" t="n">
        <v>267</v>
      </c>
      <c r="J73" s="95"/>
      <c r="K73" s="95"/>
    </row>
    <row r="74" customFormat="false" ht="15" hidden="false" customHeight="false" outlineLevel="0" collapsed="false">
      <c r="A74" s="64"/>
      <c r="B74" s="92"/>
      <c r="C74" s="92"/>
      <c r="D74" s="92"/>
      <c r="E74" s="92"/>
      <c r="F74" s="92"/>
      <c r="G74" s="92"/>
      <c r="H74" s="102" t="s">
        <v>97</v>
      </c>
      <c r="I74" s="103" t="n">
        <v>268</v>
      </c>
      <c r="J74" s="95"/>
      <c r="K74" s="95"/>
    </row>
    <row r="75" customFormat="false" ht="15" hidden="false" customHeight="false" outlineLevel="0" collapsed="false">
      <c r="A75" s="64"/>
      <c r="B75" s="92"/>
      <c r="C75" s="92"/>
      <c r="D75" s="92"/>
      <c r="E75" s="92"/>
      <c r="F75" s="92"/>
      <c r="G75" s="92"/>
      <c r="H75" s="102" t="s">
        <v>98</v>
      </c>
      <c r="I75" s="103" t="n">
        <v>269</v>
      </c>
      <c r="J75" s="95"/>
      <c r="K75" s="95"/>
    </row>
    <row r="76" customFormat="false" ht="15" hidden="false" customHeight="false" outlineLevel="0" collapsed="false">
      <c r="A76" s="64"/>
      <c r="B76" s="92"/>
      <c r="C76" s="92"/>
      <c r="D76" s="92"/>
      <c r="E76" s="92"/>
      <c r="F76" s="92"/>
      <c r="G76" s="92"/>
      <c r="H76" s="102" t="s">
        <v>99</v>
      </c>
      <c r="I76" s="103" t="n">
        <v>270</v>
      </c>
      <c r="J76" s="95"/>
      <c r="K76" s="95"/>
    </row>
    <row r="77" customFormat="false" ht="15" hidden="false" customHeight="false" outlineLevel="0" collapsed="false">
      <c r="A77" s="64"/>
      <c r="B77" s="92"/>
      <c r="C77" s="92"/>
      <c r="D77" s="92"/>
      <c r="E77" s="92"/>
      <c r="F77" s="92"/>
      <c r="G77" s="92"/>
      <c r="H77" s="102" t="s">
        <v>100</v>
      </c>
      <c r="I77" s="103" t="n">
        <v>271</v>
      </c>
      <c r="J77" s="95"/>
      <c r="K77" s="95"/>
    </row>
    <row r="78" customFormat="false" ht="15" hidden="false" customHeight="false" outlineLevel="0" collapsed="false">
      <c r="A78" s="64"/>
      <c r="B78" s="92"/>
      <c r="C78" s="92"/>
      <c r="D78" s="92"/>
      <c r="E78" s="92"/>
      <c r="F78" s="92"/>
      <c r="G78" s="92"/>
      <c r="H78" s="102" t="s">
        <v>101</v>
      </c>
      <c r="I78" s="103" t="n">
        <v>272</v>
      </c>
      <c r="J78" s="95"/>
      <c r="K78" s="95"/>
    </row>
    <row r="79" customFormat="false" ht="15" hidden="false" customHeight="false" outlineLevel="0" collapsed="false">
      <c r="A79" s="64"/>
      <c r="B79" s="92"/>
      <c r="C79" s="92"/>
      <c r="D79" s="92"/>
      <c r="E79" s="92"/>
      <c r="F79" s="92"/>
      <c r="G79" s="92"/>
      <c r="H79" s="102" t="s">
        <v>102</v>
      </c>
      <c r="I79" s="103" t="n">
        <v>273</v>
      </c>
      <c r="J79" s="95"/>
      <c r="K79" s="95"/>
    </row>
    <row r="80" customFormat="false" ht="15" hidden="false" customHeight="false" outlineLevel="0" collapsed="false">
      <c r="A80" s="64"/>
      <c r="B80" s="92"/>
      <c r="C80" s="92"/>
      <c r="D80" s="92"/>
      <c r="E80" s="92"/>
      <c r="F80" s="92"/>
      <c r="G80" s="92"/>
      <c r="H80" s="102" t="s">
        <v>103</v>
      </c>
      <c r="I80" s="103" t="n">
        <v>274</v>
      </c>
      <c r="J80" s="95"/>
      <c r="K80" s="95"/>
    </row>
    <row r="81" customFormat="false" ht="15" hidden="false" customHeight="false" outlineLevel="0" collapsed="false">
      <c r="A81" s="64"/>
      <c r="B81" s="92"/>
      <c r="C81" s="92"/>
      <c r="D81" s="92"/>
      <c r="E81" s="92"/>
      <c r="F81" s="92"/>
      <c r="G81" s="92"/>
      <c r="H81" s="102" t="s">
        <v>104</v>
      </c>
      <c r="I81" s="103" t="n">
        <v>275</v>
      </c>
      <c r="J81" s="95"/>
      <c r="K81" s="95"/>
    </row>
    <row r="82" customFormat="false" ht="15" hidden="false" customHeight="false" outlineLevel="0" collapsed="false">
      <c r="A82" s="64"/>
      <c r="B82" s="92"/>
      <c r="C82" s="92"/>
      <c r="D82" s="92"/>
      <c r="E82" s="92"/>
      <c r="F82" s="92"/>
      <c r="G82" s="92"/>
      <c r="H82" s="102" t="s">
        <v>105</v>
      </c>
      <c r="I82" s="103" t="n">
        <v>276</v>
      </c>
      <c r="J82" s="95"/>
      <c r="K82" s="95"/>
    </row>
    <row r="83" customFormat="false" ht="15" hidden="false" customHeight="false" outlineLevel="0" collapsed="false">
      <c r="A83" s="64"/>
      <c r="B83" s="92"/>
      <c r="C83" s="92"/>
      <c r="D83" s="92"/>
      <c r="E83" s="92"/>
      <c r="F83" s="92"/>
      <c r="G83" s="92"/>
      <c r="H83" s="102" t="s">
        <v>106</v>
      </c>
      <c r="I83" s="103" t="n">
        <v>277</v>
      </c>
      <c r="J83" s="95"/>
      <c r="K83" s="95"/>
    </row>
    <row r="84" customFormat="false" ht="15" hidden="false" customHeight="false" outlineLevel="0" collapsed="false">
      <c r="A84" s="64"/>
      <c r="B84" s="92"/>
      <c r="C84" s="92"/>
      <c r="D84" s="92"/>
      <c r="E84" s="92"/>
      <c r="F84" s="92"/>
      <c r="G84" s="92"/>
      <c r="H84" s="102" t="s">
        <v>107</v>
      </c>
      <c r="I84" s="103" t="n">
        <v>278</v>
      </c>
      <c r="J84" s="95"/>
      <c r="K84" s="95"/>
    </row>
    <row r="85" customFormat="false" ht="15" hidden="false" customHeight="false" outlineLevel="0" collapsed="false">
      <c r="A85" s="64"/>
      <c r="B85" s="92"/>
      <c r="C85" s="92"/>
      <c r="D85" s="92"/>
      <c r="E85" s="92"/>
      <c r="F85" s="92"/>
      <c r="G85" s="92"/>
      <c r="H85" s="102" t="s">
        <v>108</v>
      </c>
      <c r="I85" s="103" t="n">
        <v>279</v>
      </c>
      <c r="J85" s="95"/>
      <c r="K85" s="95"/>
    </row>
    <row r="86" customFormat="false" ht="15" hidden="false" customHeight="false" outlineLevel="0" collapsed="false">
      <c r="A86" s="64"/>
      <c r="B86" s="92"/>
      <c r="C86" s="92"/>
      <c r="D86" s="92"/>
      <c r="E86" s="92"/>
      <c r="F86" s="92"/>
      <c r="G86" s="92"/>
      <c r="H86" s="102" t="s">
        <v>109</v>
      </c>
      <c r="I86" s="103" t="n">
        <v>280</v>
      </c>
      <c r="J86" s="95"/>
      <c r="K86" s="95"/>
    </row>
    <row r="87" customFormat="false" ht="15" hidden="false" customHeight="false" outlineLevel="0" collapsed="false">
      <c r="A87" s="64"/>
      <c r="B87" s="92"/>
      <c r="C87" s="92"/>
      <c r="D87" s="92"/>
      <c r="E87" s="92"/>
      <c r="F87" s="92"/>
      <c r="G87" s="92"/>
      <c r="H87" s="102" t="s">
        <v>110</v>
      </c>
      <c r="I87" s="103" t="n">
        <v>284</v>
      </c>
      <c r="J87" s="95"/>
      <c r="K87" s="95"/>
    </row>
    <row r="88" customFormat="false" ht="15" hidden="false" customHeight="false" outlineLevel="0" collapsed="false">
      <c r="A88" s="64"/>
      <c r="B88" s="92"/>
      <c r="C88" s="92"/>
      <c r="D88" s="92"/>
      <c r="E88" s="92"/>
      <c r="F88" s="92"/>
      <c r="G88" s="92"/>
      <c r="H88" s="102" t="s">
        <v>111</v>
      </c>
      <c r="I88" s="103" t="n">
        <v>288</v>
      </c>
      <c r="J88" s="95"/>
      <c r="K88" s="95"/>
    </row>
    <row r="89" customFormat="false" ht="15" hidden="false" customHeight="false" outlineLevel="0" collapsed="false">
      <c r="A89" s="64"/>
      <c r="B89" s="92"/>
      <c r="C89" s="92"/>
      <c r="D89" s="92"/>
      <c r="E89" s="92"/>
      <c r="F89" s="92"/>
      <c r="G89" s="92"/>
      <c r="H89" s="92"/>
      <c r="I89" s="92"/>
      <c r="J89" s="95"/>
      <c r="K89" s="95"/>
    </row>
    <row r="90" customFormat="false" ht="24.75" hidden="false" customHeight="true" outlineLevel="0" collapsed="false">
      <c r="A90" s="61" t="s">
        <v>112</v>
      </c>
      <c r="B90" s="62"/>
      <c r="C90" s="62"/>
      <c r="D90" s="62"/>
      <c r="E90" s="62"/>
      <c r="F90" s="62"/>
      <c r="G90" s="62"/>
      <c r="H90" s="62"/>
      <c r="I90" s="62"/>
      <c r="J90" s="62"/>
      <c r="K90" s="62"/>
    </row>
    <row r="91" customFormat="false" ht="27.75" hidden="false" customHeight="true" outlineLevel="0" collapsed="false">
      <c r="A91" s="64"/>
      <c r="B91" s="106"/>
      <c r="C91" s="106"/>
      <c r="D91" s="106"/>
      <c r="E91" s="64"/>
      <c r="F91" s="64"/>
      <c r="G91" s="64"/>
      <c r="H91" s="64"/>
      <c r="I91" s="64"/>
      <c r="J91" s="64"/>
      <c r="K91" s="64"/>
    </row>
    <row r="92" customFormat="false" ht="38.25" hidden="false" customHeight="true" outlineLevel="0" collapsed="false">
      <c r="A92" s="64"/>
      <c r="B92" s="107" t="s">
        <v>45</v>
      </c>
      <c r="C92" s="108" t="s">
        <v>46</v>
      </c>
      <c r="D92" s="109" t="s">
        <v>47</v>
      </c>
      <c r="E92" s="109" t="s">
        <v>48</v>
      </c>
      <c r="F92" s="110" t="s">
        <v>49</v>
      </c>
      <c r="G92" s="110" t="s">
        <v>50</v>
      </c>
      <c r="H92" s="92"/>
      <c r="I92" s="92"/>
      <c r="J92" s="92"/>
      <c r="K92" s="92"/>
      <c r="L92" s="111"/>
      <c r="M92" s="111"/>
    </row>
    <row r="93" customFormat="false" ht="15" hidden="false" customHeight="false" outlineLevel="0" collapsed="false">
      <c r="A93" s="64"/>
      <c r="B93" s="112"/>
      <c r="C93" s="112"/>
      <c r="D93" s="112"/>
      <c r="E93" s="112"/>
      <c r="F93" s="112"/>
      <c r="G93" s="112"/>
      <c r="H93" s="92"/>
      <c r="I93" s="92"/>
      <c r="J93" s="92"/>
      <c r="K93" s="92"/>
      <c r="L93" s="111"/>
      <c r="M93" s="111"/>
    </row>
    <row r="94" customFormat="false" ht="15" hidden="false" customHeight="false" outlineLevel="0" collapsed="false">
      <c r="A94" s="64"/>
      <c r="B94" s="112"/>
      <c r="C94" s="112"/>
      <c r="D94" s="112"/>
      <c r="E94" s="112"/>
      <c r="F94" s="112"/>
      <c r="G94" s="112"/>
      <c r="H94" s="92"/>
      <c r="I94" s="92"/>
      <c r="J94" s="92"/>
      <c r="K94" s="92"/>
      <c r="L94" s="111"/>
      <c r="M94" s="111"/>
    </row>
    <row r="95" customFormat="false" ht="15" hidden="false" customHeight="false" outlineLevel="0" collapsed="false">
      <c r="A95" s="64"/>
      <c r="B95" s="112"/>
      <c r="C95" s="112"/>
      <c r="D95" s="112"/>
      <c r="E95" s="112"/>
      <c r="F95" s="112"/>
      <c r="G95" s="112"/>
      <c r="H95" s="92"/>
      <c r="I95" s="92"/>
      <c r="J95" s="92"/>
      <c r="K95" s="92"/>
      <c r="L95" s="111"/>
      <c r="M95" s="111"/>
    </row>
    <row r="96" customFormat="false" ht="15" hidden="false" customHeight="false" outlineLevel="0" collapsed="false">
      <c r="A96" s="64"/>
      <c r="B96" s="112"/>
      <c r="C96" s="112"/>
      <c r="D96" s="112"/>
      <c r="E96" s="112"/>
      <c r="F96" s="112"/>
      <c r="G96" s="112"/>
      <c r="H96" s="92"/>
      <c r="I96" s="92"/>
      <c r="J96" s="92"/>
      <c r="K96" s="92"/>
      <c r="L96" s="111"/>
      <c r="M96" s="111"/>
    </row>
    <row r="97" customFormat="false" ht="15" hidden="false" customHeight="false" outlineLevel="0" collapsed="false">
      <c r="A97" s="64"/>
      <c r="B97" s="112"/>
      <c r="C97" s="112"/>
      <c r="D97" s="112"/>
      <c r="E97" s="112"/>
      <c r="F97" s="112"/>
      <c r="G97" s="112"/>
      <c r="H97" s="92"/>
      <c r="I97" s="92"/>
      <c r="J97" s="92"/>
      <c r="K97" s="92"/>
      <c r="L97" s="111"/>
      <c r="M97" s="111"/>
    </row>
    <row r="98" customFormat="false" ht="15" hidden="false" customHeight="false" outlineLevel="0" collapsed="false">
      <c r="A98" s="64"/>
      <c r="B98" s="112"/>
      <c r="C98" s="112"/>
      <c r="D98" s="112"/>
      <c r="E98" s="112"/>
      <c r="F98" s="112"/>
      <c r="G98" s="112"/>
      <c r="H98" s="92"/>
      <c r="I98" s="92"/>
      <c r="J98" s="92"/>
      <c r="K98" s="92"/>
      <c r="L98" s="111"/>
      <c r="M98" s="111"/>
    </row>
    <row r="99" customFormat="false" ht="15" hidden="false" customHeight="false" outlineLevel="0" collapsed="false">
      <c r="A99" s="64"/>
      <c r="B99" s="112"/>
      <c r="C99" s="112"/>
      <c r="D99" s="112"/>
      <c r="E99" s="112"/>
      <c r="F99" s="112"/>
      <c r="G99" s="112"/>
      <c r="H99" s="92"/>
      <c r="I99" s="92"/>
      <c r="J99" s="92"/>
      <c r="K99" s="92"/>
      <c r="L99" s="111"/>
      <c r="M99" s="111"/>
    </row>
    <row r="100" customFormat="false" ht="15" hidden="false" customHeight="false" outlineLevel="0" collapsed="false">
      <c r="A100" s="64"/>
      <c r="B100" s="112"/>
      <c r="C100" s="112"/>
      <c r="D100" s="112"/>
      <c r="E100" s="112"/>
      <c r="F100" s="112"/>
      <c r="G100" s="112"/>
      <c r="H100" s="92"/>
      <c r="I100" s="92"/>
      <c r="J100" s="92"/>
      <c r="K100" s="92"/>
      <c r="L100" s="111"/>
      <c r="M100" s="111"/>
    </row>
    <row r="101" customFormat="false" ht="15" hidden="false" customHeight="false" outlineLevel="0" collapsed="false">
      <c r="A101" s="64"/>
      <c r="B101" s="112"/>
      <c r="C101" s="112"/>
      <c r="D101" s="112"/>
      <c r="E101" s="112"/>
      <c r="F101" s="112"/>
      <c r="G101" s="112"/>
      <c r="H101" s="92"/>
      <c r="I101" s="92"/>
      <c r="J101" s="92"/>
      <c r="K101" s="92"/>
      <c r="L101" s="111"/>
      <c r="M101" s="111"/>
    </row>
    <row r="102" customFormat="false" ht="15" hidden="false" customHeight="false" outlineLevel="0" collapsed="false">
      <c r="A102" s="64"/>
      <c r="B102" s="112"/>
      <c r="C102" s="112"/>
      <c r="D102" s="112"/>
      <c r="E102" s="112"/>
      <c r="F102" s="112"/>
      <c r="G102" s="112"/>
      <c r="H102" s="92"/>
      <c r="I102" s="92"/>
      <c r="J102" s="92"/>
      <c r="K102" s="92"/>
      <c r="L102" s="111"/>
      <c r="M102" s="111"/>
    </row>
    <row r="103" customFormat="false" ht="15" hidden="false" customHeight="false" outlineLevel="0" collapsed="false">
      <c r="A103" s="64"/>
      <c r="B103" s="113"/>
      <c r="C103" s="113"/>
      <c r="D103" s="113"/>
      <c r="E103" s="113"/>
      <c r="F103" s="113"/>
      <c r="G103" s="113"/>
      <c r="H103" s="92"/>
      <c r="I103" s="92"/>
      <c r="J103" s="92"/>
      <c r="K103" s="92"/>
      <c r="L103" s="111"/>
      <c r="M103" s="111"/>
    </row>
    <row r="104" customFormat="false" ht="15" hidden="false" customHeight="false" outlineLevel="0" collapsed="false">
      <c r="A104" s="64"/>
      <c r="B104" s="113"/>
      <c r="C104" s="113"/>
      <c r="D104" s="113"/>
      <c r="E104" s="113"/>
      <c r="F104" s="113"/>
      <c r="G104" s="113"/>
      <c r="H104" s="92"/>
      <c r="I104" s="92"/>
      <c r="J104" s="92"/>
      <c r="K104" s="92"/>
      <c r="L104" s="111"/>
      <c r="M104" s="111"/>
    </row>
    <row r="105" customFormat="false" ht="15" hidden="false" customHeight="false" outlineLevel="0" collapsed="false">
      <c r="A105" s="64"/>
      <c r="B105" s="113"/>
      <c r="C105" s="113"/>
      <c r="D105" s="113"/>
      <c r="E105" s="113"/>
      <c r="F105" s="113"/>
      <c r="G105" s="113"/>
      <c r="H105" s="92"/>
      <c r="I105" s="92"/>
      <c r="J105" s="92"/>
      <c r="K105" s="92"/>
      <c r="L105" s="111"/>
      <c r="M105" s="111"/>
    </row>
    <row r="106" customFormat="false" ht="15" hidden="false" customHeight="false" outlineLevel="0" collapsed="false">
      <c r="A106" s="64"/>
      <c r="B106" s="113"/>
      <c r="C106" s="113"/>
      <c r="D106" s="113"/>
      <c r="E106" s="113"/>
      <c r="F106" s="113"/>
      <c r="G106" s="113"/>
      <c r="H106" s="92"/>
      <c r="I106" s="92"/>
      <c r="J106" s="92"/>
      <c r="K106" s="92"/>
      <c r="L106" s="111"/>
      <c r="M106" s="111"/>
    </row>
    <row r="107" customFormat="false" ht="15" hidden="false" customHeight="false" outlineLevel="0" collapsed="false">
      <c r="A107" s="64"/>
      <c r="B107" s="113"/>
      <c r="C107" s="113"/>
      <c r="D107" s="113"/>
      <c r="E107" s="113"/>
      <c r="F107" s="113"/>
      <c r="G107" s="113"/>
      <c r="H107" s="92"/>
      <c r="I107" s="92"/>
      <c r="J107" s="92"/>
      <c r="K107" s="92"/>
      <c r="L107" s="111"/>
      <c r="M107" s="111"/>
    </row>
    <row r="108" customFormat="false" ht="15" hidden="false" customHeight="false" outlineLevel="0" collapsed="false">
      <c r="A108" s="64"/>
      <c r="B108" s="113"/>
      <c r="C108" s="113"/>
      <c r="D108" s="113"/>
      <c r="E108" s="113"/>
      <c r="F108" s="113"/>
      <c r="G108" s="113"/>
      <c r="H108" s="92"/>
      <c r="I108" s="92"/>
      <c r="J108" s="92"/>
      <c r="K108" s="92"/>
      <c r="L108" s="111"/>
      <c r="M108" s="111"/>
    </row>
    <row r="109" customFormat="false" ht="15" hidden="false" customHeight="false" outlineLevel="0" collapsed="false">
      <c r="A109" s="64"/>
      <c r="B109" s="113"/>
      <c r="C109" s="113"/>
      <c r="D109" s="113"/>
      <c r="E109" s="113"/>
      <c r="F109" s="113"/>
      <c r="G109" s="113"/>
      <c r="H109" s="92"/>
      <c r="I109" s="92"/>
      <c r="J109" s="92"/>
      <c r="K109" s="92"/>
      <c r="L109" s="111"/>
      <c r="M109" s="111"/>
    </row>
    <row r="110" customFormat="false" ht="27.75" hidden="false" customHeight="true" outlineLevel="0" collapsed="false">
      <c r="A110" s="61" t="s">
        <v>113</v>
      </c>
      <c r="B110" s="62"/>
      <c r="C110" s="62"/>
      <c r="D110" s="62"/>
      <c r="E110" s="62"/>
      <c r="F110" s="62"/>
      <c r="G110" s="62"/>
      <c r="H110" s="62"/>
      <c r="I110" s="62"/>
      <c r="J110" s="62"/>
      <c r="K110" s="62"/>
    </row>
    <row r="111" customFormat="false" ht="15" hidden="false" customHeight="false" outlineLevel="0" collapsed="false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</row>
    <row r="112" customFormat="false" ht="15" hidden="false" customHeight="false" outlineLevel="0" collapsed="false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</row>
    <row r="113" customFormat="false" ht="15" hidden="false" customHeight="false" outlineLevel="0" collapsed="false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</row>
    <row r="114" customFormat="false" ht="15" hidden="false" customHeight="false" outlineLevel="0" collapsed="false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</row>
    <row r="115" customFormat="false" ht="15" hidden="false" customHeight="false" outlineLevel="0" collapsed="false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</row>
    <row r="116" customFormat="false" ht="15" hidden="false" customHeight="false" outlineLevel="0" collapsed="false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</row>
    <row r="117" customFormat="false" ht="15" hidden="false" customHeight="false" outlineLevel="0" collapsed="false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</row>
    <row r="118" customFormat="false" ht="15" hidden="false" customHeight="false" outlineLevel="0" collapsed="false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</row>
    <row r="119" customFormat="false" ht="15" hidden="false" customHeight="false" outlineLevel="0" collapsed="false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</row>
    <row r="120" customFormat="false" ht="15" hidden="false" customHeight="false" outlineLevel="0" collapsed="false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</row>
    <row r="121" customFormat="false" ht="15" hidden="false" customHeight="false" outlineLevel="0" collapsed="false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</row>
    <row r="122" customFormat="false" ht="15" hidden="false" customHeight="false" outlineLevel="0" collapsed="false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</row>
    <row r="123" customFormat="false" ht="25.5" hidden="false" customHeight="true" outlineLevel="0" collapsed="false">
      <c r="A123" s="61" t="s">
        <v>114</v>
      </c>
      <c r="B123" s="62"/>
      <c r="C123" s="62"/>
      <c r="D123" s="62"/>
      <c r="E123" s="62"/>
      <c r="F123" s="62"/>
      <c r="G123" s="62"/>
      <c r="H123" s="62"/>
      <c r="I123" s="62"/>
      <c r="J123" s="62"/>
      <c r="K123" s="62"/>
    </row>
    <row r="124" customFormat="false" ht="15" hidden="false" customHeight="false" outlineLevel="0" collapsed="false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</row>
    <row r="125" customFormat="false" ht="15" hidden="false" customHeight="false" outlineLevel="0" collapsed="false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</row>
    <row r="126" customFormat="false" ht="15" hidden="false" customHeight="false" outlineLevel="0" collapsed="false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</row>
    <row r="127" customFormat="false" ht="15" hidden="false" customHeight="false" outlineLevel="0" collapsed="false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</row>
    <row r="128" customFormat="false" ht="15" hidden="false" customHeight="false" outlineLevel="0" collapsed="false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</row>
    <row r="129" customFormat="false" ht="15" hidden="false" customHeight="false" outlineLevel="0" collapsed="false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</row>
    <row r="130" customFormat="false" ht="15" hidden="false" customHeight="false" outlineLevel="0" collapsed="false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</row>
    <row r="131" customFormat="false" ht="15" hidden="false" customHeight="false" outlineLevel="0" collapsed="false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</row>
    <row r="132" customFormat="false" ht="15" hidden="false" customHeight="false" outlineLevel="0" collapsed="false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</row>
    <row r="133" customFormat="false" ht="15" hidden="false" customHeight="false" outlineLevel="0" collapsed="false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</row>
    <row r="134" customFormat="false" ht="15" hidden="false" customHeight="false" outlineLevel="0" collapsed="false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</row>
    <row r="135" customFormat="false" ht="15" hidden="false" customHeight="false" outlineLevel="0" collapsed="false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</row>
    <row r="136" customFormat="false" ht="15" hidden="false" customHeight="false" outlineLevel="0" collapsed="false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</row>
    <row r="137" customFormat="false" ht="15" hidden="false" customHeight="false" outlineLevel="0" collapsed="false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</row>
    <row r="138" customFormat="false" ht="15" hidden="false" customHeight="false" outlineLevel="0" collapsed="false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</row>
    <row r="139" customFormat="false" ht="15" hidden="false" customHeight="false" outlineLevel="0" collapsed="false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</row>
    <row r="140" customFormat="false" ht="15" hidden="false" customHeight="false" outlineLevel="0" collapsed="false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</row>
    <row r="141" customFormat="false" ht="15" hidden="false" customHeight="false" outlineLevel="0" collapsed="false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</row>
    <row r="142" customFormat="false" ht="15" hidden="false" customHeight="false" outlineLevel="0" collapsed="false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</row>
    <row r="143" customFormat="false" ht="15" hidden="false" customHeight="false" outlineLevel="0" collapsed="false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</row>
    <row r="144" customFormat="false" ht="15" hidden="false" customHeight="false" outlineLevel="0" collapsed="false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</row>
    <row r="145" customFormat="false" ht="15" hidden="false" customHeight="false" outlineLevel="0" collapsed="false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</row>
    <row r="146" customFormat="false" ht="15" hidden="false" customHeight="false" outlineLevel="0" collapsed="false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</row>
    <row r="147" customFormat="false" ht="15" hidden="false" customHeight="false" outlineLevel="0" collapsed="false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</row>
    <row r="148" customFormat="false" ht="15" hidden="false" customHeight="false" outlineLevel="0" collapsed="false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</row>
    <row r="149" customFormat="false" ht="15" hidden="false" customHeight="false" outlineLevel="0" collapsed="false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</row>
    <row r="150" customFormat="false" ht="15" hidden="false" customHeight="false" outlineLevel="0" collapsed="false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</row>
    <row r="151" customFormat="false" ht="15" hidden="false" customHeight="false" outlineLevel="0" collapsed="false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</row>
    <row r="152" customFormat="false" ht="15" hidden="false" customHeight="false" outlineLevel="0" collapsed="false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</row>
    <row r="153" customFormat="false" ht="15" hidden="false" customHeight="false" outlineLevel="0" collapsed="false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</row>
    <row r="154" customFormat="false" ht="15" hidden="false" customHeight="false" outlineLevel="0" collapsed="false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</row>
    <row r="155" customFormat="false" ht="15" hidden="false" customHeight="false" outlineLevel="0" collapsed="false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</row>
    <row r="156" customFormat="false" ht="15" hidden="false" customHeight="false" outlineLevel="0" collapsed="false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</row>
    <row r="157" customFormat="false" ht="15" hidden="false" customHeight="false" outlineLevel="0" collapsed="false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</row>
    <row r="158" customFormat="false" ht="15" hidden="false" customHeight="false" outlineLevel="0" collapsed="false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</row>
    <row r="159" customFormat="false" ht="12.75" hidden="false" customHeight="false" outlineLevel="0" collapsed="false">
      <c r="A159" s="95"/>
      <c r="B159" s="95"/>
      <c r="C159" s="95"/>
      <c r="D159" s="95"/>
      <c r="E159" s="95"/>
      <c r="F159" s="95"/>
      <c r="G159" s="95"/>
      <c r="H159" s="95"/>
      <c r="I159" s="95"/>
      <c r="J159" s="95"/>
      <c r="K159" s="95"/>
    </row>
    <row r="160" customFormat="false" ht="12.75" hidden="false" customHeight="false" outlineLevel="0" collapsed="false">
      <c r="A160" s="95"/>
      <c r="B160" s="95"/>
      <c r="C160" s="95"/>
      <c r="D160" s="95"/>
      <c r="E160" s="95"/>
      <c r="F160" s="95"/>
      <c r="G160" s="95"/>
      <c r="H160" s="95"/>
      <c r="I160" s="95"/>
      <c r="J160" s="95"/>
      <c r="K160" s="95"/>
    </row>
    <row r="161" customFormat="false" ht="12.75" hidden="false" customHeight="false" outlineLevel="0" collapsed="false">
      <c r="A161" s="95"/>
      <c r="B161" s="95"/>
      <c r="C161" s="95"/>
      <c r="D161" s="95"/>
      <c r="E161" s="95"/>
      <c r="F161" s="95"/>
      <c r="G161" s="95"/>
      <c r="H161" s="95"/>
      <c r="I161" s="95"/>
      <c r="J161" s="95"/>
      <c r="K161" s="95"/>
    </row>
    <row r="162" customFormat="false" ht="12.75" hidden="false" customHeight="false" outlineLevel="0" collapsed="false">
      <c r="A162" s="95"/>
      <c r="B162" s="95"/>
      <c r="C162" s="95"/>
      <c r="D162" s="95"/>
      <c r="E162" s="95"/>
      <c r="F162" s="95"/>
      <c r="G162" s="95"/>
      <c r="H162" s="95"/>
      <c r="I162" s="95"/>
      <c r="J162" s="95"/>
      <c r="K162" s="95"/>
    </row>
    <row r="163" customFormat="false" ht="12.75" hidden="false" customHeight="false" outlineLevel="0" collapsed="false">
      <c r="A163" s="95"/>
      <c r="B163" s="95"/>
      <c r="C163" s="95"/>
      <c r="D163" s="95"/>
      <c r="E163" s="95"/>
      <c r="F163" s="95"/>
      <c r="G163" s="95"/>
      <c r="H163" s="95"/>
      <c r="I163" s="95"/>
      <c r="J163" s="95"/>
      <c r="K163" s="95"/>
    </row>
    <row r="164" customFormat="false" ht="12.75" hidden="false" customHeight="false" outlineLevel="0" collapsed="false">
      <c r="A164" s="95"/>
      <c r="B164" s="95"/>
      <c r="C164" s="95"/>
      <c r="D164" s="95"/>
      <c r="E164" s="95"/>
      <c r="F164" s="95"/>
      <c r="G164" s="95"/>
      <c r="H164" s="95"/>
      <c r="I164" s="95"/>
      <c r="J164" s="95"/>
      <c r="K164" s="95"/>
    </row>
    <row r="165" customFormat="false" ht="12.75" hidden="false" customHeight="false" outlineLevel="0" collapsed="false">
      <c r="A165" s="95"/>
      <c r="B165" s="95"/>
      <c r="C165" s="95"/>
      <c r="D165" s="95"/>
      <c r="E165" s="95"/>
      <c r="F165" s="95"/>
      <c r="G165" s="95"/>
      <c r="H165" s="95"/>
      <c r="I165" s="95"/>
      <c r="J165" s="95"/>
      <c r="K165" s="95"/>
    </row>
    <row r="166" customFormat="false" ht="12.75" hidden="false" customHeight="false" outlineLevel="0" collapsed="false">
      <c r="A166" s="95"/>
      <c r="B166" s="95"/>
      <c r="C166" s="95"/>
      <c r="D166" s="95"/>
      <c r="E166" s="95"/>
      <c r="F166" s="95"/>
      <c r="G166" s="95"/>
      <c r="H166" s="95"/>
      <c r="I166" s="95"/>
      <c r="J166" s="95"/>
      <c r="K166" s="95"/>
    </row>
    <row r="167" customFormat="false" ht="12.75" hidden="false" customHeight="false" outlineLevel="0" collapsed="false">
      <c r="A167" s="95"/>
      <c r="B167" s="95"/>
      <c r="C167" s="95"/>
      <c r="D167" s="95"/>
      <c r="E167" s="95"/>
      <c r="F167" s="95"/>
      <c r="G167" s="95"/>
      <c r="H167" s="95"/>
      <c r="I167" s="95"/>
      <c r="J167" s="95"/>
      <c r="K167" s="95"/>
    </row>
    <row r="168" customFormat="false" ht="12.75" hidden="false" customHeight="false" outlineLevel="0" collapsed="false">
      <c r="A168" s="95"/>
      <c r="B168" s="95"/>
      <c r="C168" s="95"/>
      <c r="D168" s="95"/>
      <c r="E168" s="95"/>
      <c r="F168" s="95"/>
      <c r="G168" s="95"/>
      <c r="H168" s="95"/>
      <c r="I168" s="95"/>
      <c r="J168" s="95"/>
      <c r="K168" s="95"/>
    </row>
    <row r="169" customFormat="false" ht="12.75" hidden="false" customHeight="false" outlineLevel="0" collapsed="false">
      <c r="A169" s="95"/>
      <c r="B169" s="95"/>
      <c r="C169" s="95"/>
      <c r="D169" s="95"/>
      <c r="E169" s="95"/>
      <c r="F169" s="95"/>
      <c r="G169" s="95"/>
      <c r="H169" s="95"/>
      <c r="I169" s="95"/>
      <c r="J169" s="95"/>
      <c r="K169" s="95"/>
    </row>
    <row r="170" customFormat="false" ht="12.75" hidden="false" customHeight="false" outlineLevel="0" collapsed="false">
      <c r="A170" s="95"/>
      <c r="B170" s="95"/>
      <c r="C170" s="95"/>
      <c r="D170" s="95"/>
      <c r="E170" s="95"/>
      <c r="F170" s="95"/>
      <c r="G170" s="95"/>
      <c r="H170" s="95"/>
      <c r="I170" s="95"/>
      <c r="J170" s="95"/>
      <c r="K170" s="95"/>
    </row>
    <row r="171" customFormat="false" ht="12.75" hidden="false" customHeight="false" outlineLevel="0" collapsed="false">
      <c r="A171" s="95"/>
      <c r="B171" s="95"/>
      <c r="C171" s="95"/>
      <c r="D171" s="95"/>
      <c r="E171" s="95"/>
      <c r="F171" s="95"/>
      <c r="G171" s="95"/>
      <c r="H171" s="95"/>
      <c r="I171" s="95"/>
      <c r="J171" s="95"/>
      <c r="K171" s="95"/>
    </row>
    <row r="172" customFormat="false" ht="12.75" hidden="false" customHeight="false" outlineLevel="0" collapsed="false">
      <c r="A172" s="95"/>
      <c r="B172" s="95"/>
      <c r="C172" s="95"/>
      <c r="D172" s="95"/>
      <c r="E172" s="95"/>
      <c r="F172" s="95"/>
      <c r="G172" s="95"/>
      <c r="H172" s="95"/>
      <c r="I172" s="95"/>
      <c r="J172" s="95"/>
      <c r="K172" s="95"/>
    </row>
    <row r="173" customFormat="false" ht="12.75" hidden="false" customHeight="false" outlineLevel="0" collapsed="false">
      <c r="A173" s="95"/>
      <c r="B173" s="95"/>
      <c r="C173" s="95"/>
      <c r="D173" s="95"/>
      <c r="E173" s="95"/>
      <c r="F173" s="95"/>
      <c r="G173" s="95"/>
      <c r="H173" s="95"/>
      <c r="I173" s="95"/>
      <c r="J173" s="95"/>
      <c r="K173" s="95"/>
    </row>
    <row r="174" customFormat="false" ht="12.75" hidden="false" customHeight="false" outlineLevel="0" collapsed="false">
      <c r="A174" s="95"/>
      <c r="B174" s="95"/>
      <c r="C174" s="95"/>
      <c r="D174" s="95"/>
      <c r="E174" s="95"/>
      <c r="F174" s="95"/>
      <c r="G174" s="95"/>
      <c r="H174" s="95"/>
      <c r="I174" s="95"/>
      <c r="J174" s="95"/>
      <c r="K174" s="95"/>
    </row>
    <row r="175" customFormat="false" ht="12.75" hidden="false" customHeight="false" outlineLevel="0" collapsed="false">
      <c r="A175" s="95"/>
      <c r="B175" s="95"/>
      <c r="C175" s="95"/>
      <c r="D175" s="95"/>
      <c r="E175" s="95"/>
      <c r="F175" s="95"/>
      <c r="G175" s="95"/>
      <c r="H175" s="95"/>
      <c r="I175" s="95"/>
      <c r="J175" s="95"/>
      <c r="K175" s="95"/>
    </row>
    <row r="176" customFormat="false" ht="12.75" hidden="false" customHeight="false" outlineLevel="0" collapsed="false">
      <c r="A176" s="95"/>
      <c r="B176" s="95"/>
      <c r="C176" s="95"/>
      <c r="D176" s="95"/>
      <c r="E176" s="95"/>
      <c r="F176" s="95"/>
      <c r="G176" s="95"/>
      <c r="H176" s="95"/>
      <c r="I176" s="95"/>
      <c r="J176" s="95"/>
      <c r="K176" s="95"/>
    </row>
    <row r="177" customFormat="false" ht="12.75" hidden="false" customHeight="false" outlineLevel="0" collapsed="false">
      <c r="A177" s="95"/>
      <c r="B177" s="95"/>
      <c r="C177" s="95"/>
      <c r="D177" s="95"/>
      <c r="E177" s="95"/>
      <c r="F177" s="95"/>
      <c r="G177" s="95"/>
      <c r="H177" s="95"/>
      <c r="I177" s="95"/>
      <c r="J177" s="95"/>
      <c r="K177" s="95"/>
    </row>
    <row r="178" customFormat="false" ht="12.75" hidden="false" customHeight="false" outlineLevel="0" collapsed="false">
      <c r="A178" s="95"/>
      <c r="B178" s="95"/>
      <c r="C178" s="95"/>
      <c r="D178" s="95"/>
      <c r="E178" s="95"/>
      <c r="F178" s="95"/>
      <c r="G178" s="95"/>
      <c r="H178" s="95"/>
      <c r="I178" s="95"/>
      <c r="J178" s="95"/>
      <c r="K178" s="95"/>
    </row>
    <row r="179" customFormat="false" ht="12.75" hidden="false" customHeight="false" outlineLevel="0" collapsed="false">
      <c r="A179" s="95"/>
      <c r="B179" s="95"/>
      <c r="C179" s="95"/>
      <c r="D179" s="95"/>
      <c r="E179" s="95"/>
      <c r="F179" s="95"/>
      <c r="G179" s="95"/>
      <c r="H179" s="95"/>
      <c r="I179" s="95"/>
      <c r="J179" s="95"/>
      <c r="K179" s="95"/>
    </row>
    <row r="180" customFormat="false" ht="12.75" hidden="false" customHeight="false" outlineLevel="0" collapsed="false">
      <c r="A180" s="95"/>
      <c r="B180" s="95"/>
      <c r="C180" s="95"/>
      <c r="D180" s="95"/>
      <c r="E180" s="95"/>
      <c r="F180" s="95"/>
      <c r="G180" s="95"/>
      <c r="H180" s="95"/>
      <c r="I180" s="95"/>
      <c r="J180" s="95"/>
      <c r="K180" s="95"/>
    </row>
    <row r="181" customFormat="false" ht="12.75" hidden="false" customHeight="false" outlineLevel="0" collapsed="false">
      <c r="A181" s="95"/>
      <c r="B181" s="95"/>
      <c r="C181" s="95"/>
      <c r="D181" s="95"/>
      <c r="E181" s="95"/>
      <c r="F181" s="95"/>
      <c r="G181" s="95"/>
      <c r="H181" s="95"/>
      <c r="I181" s="95"/>
      <c r="J181" s="95"/>
      <c r="K181" s="95"/>
    </row>
    <row r="182" customFormat="false" ht="12.75" hidden="false" customHeight="false" outlineLevel="0" collapsed="false">
      <c r="A182" s="95"/>
      <c r="B182" s="95"/>
      <c r="C182" s="95"/>
      <c r="D182" s="95"/>
      <c r="E182" s="95"/>
      <c r="F182" s="95"/>
      <c r="G182" s="95"/>
      <c r="H182" s="95"/>
      <c r="I182" s="95"/>
      <c r="J182" s="95"/>
      <c r="K182" s="95"/>
    </row>
    <row r="183" customFormat="false" ht="12.75" hidden="false" customHeight="false" outlineLevel="0" collapsed="false">
      <c r="A183" s="95"/>
      <c r="B183" s="95"/>
      <c r="C183" s="95"/>
      <c r="D183" s="95"/>
      <c r="E183" s="95"/>
      <c r="F183" s="95"/>
      <c r="G183" s="95"/>
      <c r="H183" s="95"/>
      <c r="I183" s="95"/>
      <c r="J183" s="95"/>
      <c r="K183" s="95"/>
    </row>
    <row r="184" customFormat="false" ht="12.75" hidden="false" customHeight="false" outlineLevel="0" collapsed="false">
      <c r="A184" s="95"/>
      <c r="B184" s="95"/>
      <c r="C184" s="95"/>
      <c r="D184" s="95"/>
      <c r="E184" s="95"/>
      <c r="F184" s="95"/>
      <c r="G184" s="95"/>
      <c r="H184" s="95"/>
      <c r="I184" s="95"/>
      <c r="J184" s="95"/>
      <c r="K184" s="95"/>
    </row>
    <row r="185" customFormat="false" ht="12.75" hidden="false" customHeight="false" outlineLevel="0" collapsed="false">
      <c r="A185" s="95"/>
      <c r="B185" s="95"/>
      <c r="C185" s="95"/>
      <c r="D185" s="95"/>
      <c r="E185" s="95"/>
      <c r="F185" s="95"/>
      <c r="G185" s="95"/>
      <c r="H185" s="95"/>
      <c r="I185" s="95"/>
      <c r="J185" s="95"/>
      <c r="K185" s="95"/>
    </row>
    <row r="186" customFormat="false" ht="12.75" hidden="false" customHeight="false" outlineLevel="0" collapsed="false">
      <c r="A186" s="95"/>
      <c r="B186" s="95"/>
      <c r="C186" s="95"/>
      <c r="D186" s="95"/>
      <c r="E186" s="95"/>
      <c r="F186" s="95"/>
      <c r="G186" s="95"/>
      <c r="H186" s="95"/>
      <c r="I186" s="95"/>
      <c r="J186" s="95"/>
      <c r="K186" s="95"/>
    </row>
    <row r="187" customFormat="false" ht="12.75" hidden="false" customHeight="false" outlineLevel="0" collapsed="false">
      <c r="A187" s="95"/>
      <c r="B187" s="95"/>
      <c r="C187" s="95"/>
      <c r="D187" s="95"/>
      <c r="E187" s="95"/>
      <c r="F187" s="95"/>
      <c r="G187" s="95"/>
      <c r="H187" s="95"/>
      <c r="I187" s="95"/>
      <c r="J187" s="95"/>
      <c r="K187" s="95"/>
    </row>
    <row r="188" customFormat="false" ht="12.75" hidden="false" customHeight="false" outlineLevel="0" collapsed="false">
      <c r="A188" s="95"/>
      <c r="B188" s="95"/>
      <c r="C188" s="95"/>
      <c r="D188" s="95"/>
      <c r="E188" s="95"/>
      <c r="F188" s="95"/>
      <c r="G188" s="95"/>
      <c r="H188" s="95"/>
      <c r="I188" s="95"/>
      <c r="J188" s="95"/>
      <c r="K188" s="95"/>
    </row>
    <row r="189" customFormat="false" ht="12.75" hidden="false" customHeight="false" outlineLevel="0" collapsed="false">
      <c r="A189" s="95"/>
      <c r="B189" s="95"/>
      <c r="C189" s="95"/>
      <c r="D189" s="95"/>
      <c r="E189" s="95"/>
      <c r="F189" s="95"/>
      <c r="G189" s="95"/>
      <c r="H189" s="95"/>
      <c r="I189" s="95"/>
      <c r="J189" s="95"/>
      <c r="K189" s="95"/>
    </row>
    <row r="190" customFormat="false" ht="12.75" hidden="false" customHeight="false" outlineLevel="0" collapsed="false">
      <c r="A190" s="95"/>
      <c r="B190" s="95"/>
      <c r="C190" s="95"/>
      <c r="D190" s="95"/>
      <c r="E190" s="95"/>
      <c r="F190" s="95"/>
      <c r="G190" s="95"/>
      <c r="H190" s="95"/>
      <c r="I190" s="95"/>
      <c r="J190" s="95"/>
      <c r="K190" s="95"/>
    </row>
    <row r="191" customFormat="false" ht="12.75" hidden="false" customHeight="false" outlineLevel="0" collapsed="false">
      <c r="A191" s="95"/>
      <c r="B191" s="95"/>
      <c r="C191" s="95"/>
      <c r="D191" s="95"/>
      <c r="E191" s="95"/>
      <c r="F191" s="95"/>
      <c r="G191" s="95"/>
      <c r="H191" s="95"/>
      <c r="I191" s="95"/>
      <c r="J191" s="95"/>
      <c r="K191" s="95"/>
    </row>
    <row r="192" customFormat="false" ht="12.75" hidden="false" customHeight="false" outlineLevel="0" collapsed="false">
      <c r="A192" s="95"/>
      <c r="B192" s="95"/>
      <c r="C192" s="95"/>
      <c r="D192" s="95"/>
      <c r="E192" s="95"/>
      <c r="F192" s="95"/>
      <c r="G192" s="95"/>
      <c r="H192" s="95"/>
      <c r="I192" s="95"/>
      <c r="J192" s="95"/>
      <c r="K192" s="95"/>
    </row>
    <row r="193" customFormat="false" ht="12.75" hidden="false" customHeight="false" outlineLevel="0" collapsed="false">
      <c r="A193" s="95"/>
      <c r="B193" s="95"/>
      <c r="C193" s="95"/>
      <c r="D193" s="95"/>
      <c r="E193" s="95"/>
      <c r="F193" s="95"/>
      <c r="G193" s="95"/>
      <c r="H193" s="95"/>
      <c r="I193" s="95"/>
      <c r="J193" s="95"/>
      <c r="K193" s="95"/>
    </row>
    <row r="194" customFormat="false" ht="12.75" hidden="false" customHeight="false" outlineLevel="0" collapsed="false">
      <c r="A194" s="95"/>
      <c r="B194" s="95"/>
      <c r="C194" s="95"/>
      <c r="D194" s="95"/>
      <c r="E194" s="95"/>
      <c r="F194" s="95"/>
      <c r="G194" s="95"/>
      <c r="H194" s="95"/>
      <c r="I194" s="95"/>
      <c r="J194" s="95"/>
      <c r="K194" s="95"/>
    </row>
    <row r="195" customFormat="false" ht="12.75" hidden="false" customHeight="false" outlineLevel="0" collapsed="false">
      <c r="A195" s="95"/>
      <c r="B195" s="95"/>
      <c r="C195" s="95"/>
      <c r="D195" s="95"/>
      <c r="E195" s="95"/>
      <c r="F195" s="95"/>
      <c r="G195" s="95"/>
      <c r="H195" s="95"/>
      <c r="I195" s="95"/>
      <c r="J195" s="95"/>
      <c r="K195" s="95"/>
    </row>
    <row r="196" customFormat="false" ht="12.75" hidden="false" customHeight="false" outlineLevel="0" collapsed="false">
      <c r="A196" s="95"/>
      <c r="B196" s="95"/>
      <c r="C196" s="95"/>
      <c r="D196" s="95"/>
      <c r="E196" s="95"/>
      <c r="F196" s="95"/>
      <c r="G196" s="95"/>
      <c r="H196" s="95"/>
      <c r="I196" s="95"/>
      <c r="J196" s="95"/>
      <c r="K196" s="95"/>
    </row>
    <row r="197" customFormat="false" ht="12.75" hidden="false" customHeight="false" outlineLevel="0" collapsed="false">
      <c r="A197" s="95"/>
      <c r="B197" s="95"/>
      <c r="C197" s="95"/>
      <c r="D197" s="95"/>
      <c r="E197" s="95"/>
      <c r="F197" s="95"/>
      <c r="G197" s="95"/>
      <c r="H197" s="95"/>
      <c r="I197" s="95"/>
      <c r="J197" s="95"/>
      <c r="K197" s="95"/>
    </row>
  </sheetData>
  <mergeCells count="2">
    <mergeCell ref="D29:F29"/>
    <mergeCell ref="D31:F31"/>
  </mergeCells>
  <dataValidations count="15">
    <dataValidation allowBlank="true" error="Номер счета должен состоять из 20 символов!" errorStyle="stop" errorTitle="Ошибка!" operator="equal" prompt="Если у организации нет Р/С в Альфа-Банке - оставьте ячейку пустой!" promptTitle="Необязательное поле" showDropDown="false" showErrorMessage="true" showInputMessage="true" sqref="C39" type="textLength">
      <formula1>20</formula1>
      <formula2>0</formula2>
    </dataValidation>
    <dataValidation allowBlank="true" error="Дата должна быть в формате ДД.ММ.ГГГГ !" errorStyle="stop" errorTitle="Ошибка!" operator="between" prompt="Формат - ДД.ММ.ГГГГ" promptTitle="Необязательное поле" showDropDown="false" showErrorMessage="true" showInputMessage="true" sqref="C41" type="date">
      <formula1>39264</formula1>
      <formula2>44196</formula2>
    </dataValidation>
    <dataValidation allowBlank="true" error="Размерность поля - 10 или 12 символов!" errorStyle="stop" errorTitle="Ошибка!" operator="between" prompt="Размерность поля - 10 или 12 символов." promptTitle="Обязательное поле" showDropDown="false" showErrorMessage="true" showInputMessage="true" sqref="C38" type="textLength">
      <formula1>10</formula1>
      <formula2>12</formula2>
    </dataValidation>
    <dataValidation allowBlank="true" error="Размерность поля не более 35 символов!" errorStyle="stop" errorTitle="Ошибка!" operator="lessThanOrEqual" prompt="Размерность поля - не более 35 символов." promptTitle="Обязательное поле" showDropDown="false" showErrorMessage="true" showInputMessage="true" sqref="C37" type="textLength">
      <formula1>35</formula1>
      <formula2>0</formula2>
    </dataValidation>
    <dataValidation allowBlank="true" errorStyle="stop" operator="between" prompt=" " promptTitle="Необязательное поле" showDropDown="false" showErrorMessage="true" showInputMessage="true" sqref="C40 C45:C47" type="none">
      <formula1>0</formula1>
      <formula2>0</formula2>
    </dataValidation>
    <dataValidation allowBlank="true" error="Размерность поля - не более 70 символов!" errorStyle="stop" operator="lessThanOrEqual" prompt="Размерность поля - не более 70 символов." promptTitle="Необязательное поле" showDropDown="false" showErrorMessage="true" showInputMessage="true" sqref="C48" type="textLength">
      <formula1>70</formula1>
      <formula2>0</formula2>
    </dataValidation>
    <dataValidation allowBlank="true" error="Процент конвертации введен не верно!" errorStyle="stop" errorTitle="Ошибка!" operator="between" prompt="Введите процент конвертации на третий счет." promptTitle="Необязательное поле" showDropDown="false" showErrorMessage="true" showInputMessage="true" sqref="G92" type="decimal">
      <formula1>0</formula1>
      <formula2>100</formula2>
    </dataValidation>
    <dataValidation allowBlank="true" error="Процент конвертации указан не верно!" errorStyle="stop" errorTitle="Ошибка!" operator="between" prompt="Введите сумму конвертации на второй счет." promptTitle="Необязательное поле" showDropDown="false" showErrorMessage="true" showInputMessage="true" sqref="F92" type="decimal">
      <formula1>0</formula1>
      <formula2>100</formula2>
    </dataValidation>
    <dataValidation allowBlank="true" errorStyle="stop" operator="between" prompt="Введите сумму конвертации на третий счет." promptTitle="Необязательное поле" showDropDown="false" showErrorMessage="true" showInputMessage="true" sqref="E92" type="none">
      <formula1>0</formula1>
      <formula2>0</formula2>
    </dataValidation>
    <dataValidation allowBlank="true" errorStyle="stop" operator="between" prompt="Введите сумму конвертации на второй счет." promptTitle="Необязательное поле" showDropDown="false" showErrorMessage="true" showInputMessage="true" sqref="D92" type="none">
      <formula1>0</formula1>
      <formula2>0</formula2>
    </dataValidation>
    <dataValidation allowBlank="true" errorStyle="stop" operator="between" prompt="Введите сумму зачисления." promptTitle="Обязательное поле" showDropDown="false" showErrorMessage="true" showInputMessage="true" sqref="C92" type="none">
      <formula1>0</formula1>
      <formula2>0</formula2>
    </dataValidation>
    <dataValidation allowBlank="true" errorStyle="stop" operator="equal" prompt="Введите 20-значный номер счета." promptTitle="Обязательное поле" showDropDown="false" showErrorMessage="false" showInputMessage="true" sqref="B92" type="textLength">
      <formula1>20</formula1>
      <formula2>0</formula2>
    </dataValidation>
    <dataValidation allowBlank="true" error="Неверно указана валюта!" errorStyle="stop" errorTitle="Ошибка!" operator="between" prompt=" " promptTitle="Обязательное поле" showDropDown="false" showErrorMessage="true" showInputMessage="true" sqref="C44" type="list">
      <formula1>"RUR,USD,EUR"</formula1>
      <formula2>0</formula2>
    </dataValidation>
    <dataValidation allowBlank="true" error="Дата должна быть в формате ДД.ММ.ГГГГ !" errorStyle="stop" errorTitle="Ошибка!" operator="between" prompt="Формат - ДД.ММ.ГГГГ" promptTitle="Обязательное поле" showDropDown="false" showErrorMessage="true" showInputMessage="true" sqref="C42" type="date">
      <formula1>39083</formula1>
      <formula2>44196</formula2>
    </dataValidation>
    <dataValidation allowBlank="true" error="Счет введен не корректно!" errorStyle="stop" errorTitle="Ошибка!" operator="equal" prompt="Введите 20-значный номер счета" promptTitle="Обязательное поле" showDropDown="false" showErrorMessage="true" showInputMessage="false" sqref="B93:B109" type="textLength">
      <formula1>20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B2:C49"/>
  <sheetViews>
    <sheetView showFormulas="false" showGridLines="true" showRowColHeaders="true" showZeros="true" rightToLeft="false" tabSelected="false" showOutlineSymbols="true" defaultGridColor="true" view="normal" topLeftCell="A31" colorId="64" zoomScale="85" zoomScaleNormal="85" zoomScalePageLayoutView="100" workbookViewId="0">
      <selection pane="topLeft" activeCell="B54" activeCellId="0" sqref="B54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2" min="2" style="0" width="46.98"/>
  </cols>
  <sheetData>
    <row r="2" customFormat="false" ht="18.75" hidden="false" customHeight="false" outlineLevel="0" collapsed="false">
      <c r="B2" s="114" t="s">
        <v>115</v>
      </c>
    </row>
    <row r="4" customFormat="false" ht="12.75" hidden="false" customHeight="false" outlineLevel="0" collapsed="false">
      <c r="B4" s="100" t="s">
        <v>64</v>
      </c>
      <c r="C4" s="100" t="s">
        <v>65</v>
      </c>
    </row>
    <row r="5" customFormat="false" ht="12.75" hidden="false" customHeight="false" outlineLevel="0" collapsed="false">
      <c r="B5" s="102" t="s">
        <v>66</v>
      </c>
      <c r="C5" s="103" t="n">
        <v>1</v>
      </c>
    </row>
    <row r="6" customFormat="false" ht="12.75" hidden="false" customHeight="false" outlineLevel="0" collapsed="false">
      <c r="B6" s="102" t="s">
        <v>67</v>
      </c>
      <c r="C6" s="103" t="n">
        <v>2</v>
      </c>
    </row>
    <row r="7" customFormat="false" ht="12.75" hidden="false" customHeight="false" outlineLevel="0" collapsed="false">
      <c r="B7" s="102" t="s">
        <v>68</v>
      </c>
      <c r="C7" s="103" t="n">
        <v>3</v>
      </c>
    </row>
    <row r="8" customFormat="false" ht="12.75" hidden="false" customHeight="false" outlineLevel="0" collapsed="false">
      <c r="B8" s="102" t="s">
        <v>70</v>
      </c>
      <c r="C8" s="103" t="n">
        <v>4</v>
      </c>
    </row>
    <row r="9" customFormat="false" ht="12.75" hidden="false" customHeight="false" outlineLevel="0" collapsed="false">
      <c r="B9" s="102" t="s">
        <v>71</v>
      </c>
      <c r="C9" s="103" t="n">
        <v>5</v>
      </c>
    </row>
    <row r="10" customFormat="false" ht="12.75" hidden="false" customHeight="false" outlineLevel="0" collapsed="false">
      <c r="B10" s="102" t="s">
        <v>72</v>
      </c>
      <c r="C10" s="103" t="n">
        <v>6</v>
      </c>
    </row>
    <row r="11" customFormat="false" ht="12.75" hidden="false" customHeight="false" outlineLevel="0" collapsed="false">
      <c r="B11" s="102" t="s">
        <v>73</v>
      </c>
      <c r="C11" s="103" t="n">
        <v>8</v>
      </c>
    </row>
    <row r="12" customFormat="false" ht="12.75" hidden="false" customHeight="false" outlineLevel="0" collapsed="false">
      <c r="B12" s="102" t="s">
        <v>74</v>
      </c>
      <c r="C12" s="103" t="n">
        <v>9</v>
      </c>
    </row>
    <row r="13" customFormat="false" ht="12.75" hidden="false" customHeight="false" outlineLevel="0" collapsed="false">
      <c r="B13" s="102" t="s">
        <v>75</v>
      </c>
      <c r="C13" s="103" t="n">
        <v>10</v>
      </c>
    </row>
    <row r="14" customFormat="false" ht="12.75" hidden="false" customHeight="false" outlineLevel="0" collapsed="false">
      <c r="B14" s="102" t="s">
        <v>76</v>
      </c>
      <c r="C14" s="103" t="n">
        <v>11</v>
      </c>
    </row>
    <row r="15" customFormat="false" ht="12.75" hidden="false" customHeight="false" outlineLevel="0" collapsed="false">
      <c r="B15" s="102" t="s">
        <v>77</v>
      </c>
      <c r="C15" s="103" t="n">
        <v>95</v>
      </c>
    </row>
    <row r="16" customFormat="false" ht="12.75" hidden="false" customHeight="false" outlineLevel="0" collapsed="false">
      <c r="B16" s="102" t="s">
        <v>78</v>
      </c>
      <c r="C16" s="103" t="n">
        <v>96</v>
      </c>
    </row>
    <row r="17" customFormat="false" ht="12.75" hidden="false" customHeight="false" outlineLevel="0" collapsed="false">
      <c r="B17" s="102" t="s">
        <v>79</v>
      </c>
      <c r="C17" s="103" t="n">
        <v>97</v>
      </c>
    </row>
    <row r="18" customFormat="false" ht="12.75" hidden="false" customHeight="false" outlineLevel="0" collapsed="false">
      <c r="B18" s="102" t="s">
        <v>80</v>
      </c>
      <c r="C18" s="103" t="n">
        <v>99</v>
      </c>
    </row>
    <row r="19" customFormat="false" ht="12.75" hidden="false" customHeight="false" outlineLevel="0" collapsed="false">
      <c r="B19" s="102" t="s">
        <v>81</v>
      </c>
      <c r="C19" s="103" t="n">
        <v>100</v>
      </c>
    </row>
    <row r="20" customFormat="false" ht="12.75" hidden="false" customHeight="false" outlineLevel="0" collapsed="false">
      <c r="B20" s="102" t="s">
        <v>82</v>
      </c>
      <c r="C20" s="103" t="n">
        <v>101</v>
      </c>
    </row>
    <row r="21" customFormat="false" ht="12.75" hidden="false" customHeight="false" outlineLevel="0" collapsed="false">
      <c r="B21" s="102" t="s">
        <v>83</v>
      </c>
      <c r="C21" s="103" t="n">
        <v>102</v>
      </c>
    </row>
    <row r="22" customFormat="false" ht="12.75" hidden="false" customHeight="false" outlineLevel="0" collapsed="false">
      <c r="B22" s="102" t="s">
        <v>84</v>
      </c>
      <c r="C22" s="103" t="n">
        <v>104</v>
      </c>
    </row>
    <row r="23" customFormat="false" ht="12.75" hidden="false" customHeight="false" outlineLevel="0" collapsed="false">
      <c r="B23" s="102" t="s">
        <v>85</v>
      </c>
      <c r="C23" s="103" t="n">
        <v>105</v>
      </c>
    </row>
    <row r="24" customFormat="false" ht="12.75" hidden="false" customHeight="false" outlineLevel="0" collapsed="false">
      <c r="B24" s="102" t="s">
        <v>86</v>
      </c>
      <c r="C24" s="103" t="n">
        <v>106</v>
      </c>
    </row>
    <row r="25" customFormat="false" ht="12.75" hidden="false" customHeight="false" outlineLevel="0" collapsed="false">
      <c r="B25" s="102" t="s">
        <v>87</v>
      </c>
      <c r="C25" s="103" t="n">
        <v>107</v>
      </c>
    </row>
    <row r="26" customFormat="false" ht="12.75" hidden="false" customHeight="false" outlineLevel="0" collapsed="false">
      <c r="B26" s="102" t="s">
        <v>88</v>
      </c>
      <c r="C26" s="103" t="n">
        <v>108</v>
      </c>
    </row>
    <row r="27" customFormat="false" ht="12.75" hidden="false" customHeight="false" outlineLevel="0" collapsed="false">
      <c r="B27" s="102" t="s">
        <v>89</v>
      </c>
      <c r="C27" s="103" t="n">
        <v>109</v>
      </c>
    </row>
    <row r="28" customFormat="false" ht="12.75" hidden="false" customHeight="false" outlineLevel="0" collapsed="false">
      <c r="B28" s="102" t="s">
        <v>90</v>
      </c>
      <c r="C28" s="103" t="n">
        <v>110</v>
      </c>
    </row>
    <row r="29" customFormat="false" ht="12.75" hidden="false" customHeight="false" outlineLevel="0" collapsed="false">
      <c r="B29" s="102" t="s">
        <v>91</v>
      </c>
      <c r="C29" s="103" t="n">
        <v>111</v>
      </c>
    </row>
    <row r="30" customFormat="false" ht="12.75" hidden="false" customHeight="false" outlineLevel="0" collapsed="false">
      <c r="B30" s="102" t="s">
        <v>92</v>
      </c>
      <c r="C30" s="103" t="n">
        <v>112</v>
      </c>
    </row>
    <row r="31" customFormat="false" ht="12.75" hidden="false" customHeight="false" outlineLevel="0" collapsed="false">
      <c r="B31" s="102" t="s">
        <v>93</v>
      </c>
      <c r="C31" s="103" t="n">
        <v>264</v>
      </c>
    </row>
    <row r="32" customFormat="false" ht="12.75" hidden="false" customHeight="false" outlineLevel="0" collapsed="false">
      <c r="B32" s="102" t="s">
        <v>94</v>
      </c>
      <c r="C32" s="103" t="n">
        <v>265</v>
      </c>
    </row>
    <row r="33" customFormat="false" ht="12.75" hidden="false" customHeight="false" outlineLevel="0" collapsed="false">
      <c r="B33" s="102" t="s">
        <v>95</v>
      </c>
      <c r="C33" s="103" t="n">
        <v>266</v>
      </c>
    </row>
    <row r="34" customFormat="false" ht="12.75" hidden="false" customHeight="false" outlineLevel="0" collapsed="false">
      <c r="B34" s="102" t="s">
        <v>96</v>
      </c>
      <c r="C34" s="103" t="n">
        <v>267</v>
      </c>
    </row>
    <row r="35" customFormat="false" ht="12.75" hidden="false" customHeight="false" outlineLevel="0" collapsed="false">
      <c r="B35" s="102" t="s">
        <v>97</v>
      </c>
      <c r="C35" s="103" t="n">
        <v>268</v>
      </c>
    </row>
    <row r="36" customFormat="false" ht="12.75" hidden="false" customHeight="false" outlineLevel="0" collapsed="false">
      <c r="B36" s="102" t="s">
        <v>98</v>
      </c>
      <c r="C36" s="103" t="n">
        <v>269</v>
      </c>
    </row>
    <row r="37" customFormat="false" ht="12.75" hidden="false" customHeight="false" outlineLevel="0" collapsed="false">
      <c r="B37" s="102" t="s">
        <v>99</v>
      </c>
      <c r="C37" s="103" t="n">
        <v>270</v>
      </c>
    </row>
    <row r="38" customFormat="false" ht="12.75" hidden="false" customHeight="false" outlineLevel="0" collapsed="false">
      <c r="B38" s="102" t="s">
        <v>100</v>
      </c>
      <c r="C38" s="103" t="n">
        <v>271</v>
      </c>
    </row>
    <row r="39" customFormat="false" ht="12.75" hidden="false" customHeight="false" outlineLevel="0" collapsed="false">
      <c r="B39" s="102" t="s">
        <v>101</v>
      </c>
      <c r="C39" s="103" t="n">
        <v>272</v>
      </c>
    </row>
    <row r="40" customFormat="false" ht="12.75" hidden="false" customHeight="false" outlineLevel="0" collapsed="false">
      <c r="B40" s="102" t="s">
        <v>102</v>
      </c>
      <c r="C40" s="103" t="n">
        <v>273</v>
      </c>
    </row>
    <row r="41" customFormat="false" ht="12.75" hidden="false" customHeight="false" outlineLevel="0" collapsed="false">
      <c r="B41" s="102" t="s">
        <v>103</v>
      </c>
      <c r="C41" s="103" t="n">
        <v>274</v>
      </c>
    </row>
    <row r="42" customFormat="false" ht="12.75" hidden="false" customHeight="false" outlineLevel="0" collapsed="false">
      <c r="B42" s="102" t="s">
        <v>104</v>
      </c>
      <c r="C42" s="103" t="n">
        <v>275</v>
      </c>
    </row>
    <row r="43" customFormat="false" ht="12.75" hidden="false" customHeight="false" outlineLevel="0" collapsed="false">
      <c r="B43" s="102" t="s">
        <v>105</v>
      </c>
      <c r="C43" s="103" t="n">
        <v>276</v>
      </c>
    </row>
    <row r="44" customFormat="false" ht="12.75" hidden="false" customHeight="false" outlineLevel="0" collapsed="false">
      <c r="B44" s="102" t="s">
        <v>106</v>
      </c>
      <c r="C44" s="103" t="n">
        <v>277</v>
      </c>
    </row>
    <row r="45" customFormat="false" ht="12.75" hidden="false" customHeight="false" outlineLevel="0" collapsed="false">
      <c r="B45" s="102" t="s">
        <v>107</v>
      </c>
      <c r="C45" s="103" t="n">
        <v>278</v>
      </c>
    </row>
    <row r="46" customFormat="false" ht="12.75" hidden="false" customHeight="false" outlineLevel="0" collapsed="false">
      <c r="B46" s="102" t="s">
        <v>108</v>
      </c>
      <c r="C46" s="103" t="n">
        <v>279</v>
      </c>
    </row>
    <row r="47" customFormat="false" ht="12.75" hidden="false" customHeight="false" outlineLevel="0" collapsed="false">
      <c r="B47" s="102" t="s">
        <v>109</v>
      </c>
      <c r="C47" s="103" t="n">
        <v>280</v>
      </c>
    </row>
    <row r="48" customFormat="false" ht="12.75" hidden="false" customHeight="false" outlineLevel="0" collapsed="false">
      <c r="B48" s="102" t="s">
        <v>110</v>
      </c>
      <c r="C48" s="103" t="n">
        <v>284</v>
      </c>
    </row>
    <row r="49" customFormat="false" ht="12.75" hidden="false" customHeight="false" outlineLevel="0" collapsed="false">
      <c r="B49" s="102" t="s">
        <v>116</v>
      </c>
      <c r="C49" s="103" t="n">
        <v>288</v>
      </c>
    </row>
  </sheetData>
  <sheetProtection sheet="true" password="caa8" objects="true" scenarios="true" selectLockedCells="true" selectUnlockedCells="true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2007-10-23T18:00:20Z</dcterms:created>
  <dc:creator>Артеменко Е.Ю.</dc:creator>
  <dc:description/>
  <dc:language>ru-RU</dc:language>
  <cp:lastModifiedBy/>
  <cp:lastPrinted>2014-07-30T14:06:17Z</cp:lastPrinted>
  <dcterms:modified xsi:type="dcterms:W3CDTF">2026-09-04T16:00:14Z</dcterms:modified>
  <cp:revision>1</cp:revision>
  <dc:subject/>
  <dc:title>Файл начислений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mageCreateDate">
    <vt:lpwstr>_x0000__x0000__x0000_</vt:lpwstr>
  </property>
  <property fmtid="{D5CDD505-2E9C-101B-9397-08002B2CF9AE}" pid="3" name="PublishingExpirationDate">
    <vt:lpwstr>_x0000__x0000__x0000_</vt:lpwstr>
  </property>
  <property fmtid="{D5CDD505-2E9C-101B-9397-08002B2CF9AE}" pid="4" name="PublishingStartDate">
    <vt:lpwstr>_x0000__x0000__x0000_</vt:lpwstr>
  </property>
  <property fmtid="{D5CDD505-2E9C-101B-9397-08002B2CF9AE}" pid="5" name="wic_System_Copyright">
    <vt:lpwstr>_x0000__x0000__x0000_</vt:lpwstr>
  </property>
</Properties>
</file>